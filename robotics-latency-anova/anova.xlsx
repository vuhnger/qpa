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uhnger/Documents/Master/1semester/IN5060/MA2/User-studies-robotic-hand/"/>
    </mc:Choice>
  </mc:AlternateContent>
  <xr:revisionPtr revIDLastSave="0" documentId="13_ncr:1_{F7F29B82-D14C-1C41-BCCE-A6BFBC6756A2}" xr6:coauthVersionLast="47" xr6:coauthVersionMax="47" xr10:uidLastSave="{00000000-0000-0000-0000-000000000000}"/>
  <bookViews>
    <workbookView xWindow="0" yWindow="760" windowWidth="34560" windowHeight="21580" activeTab="1" xr2:uid="{2668EEDF-24DE-FE4C-A512-6E19D21006B6}"/>
  </bookViews>
  <sheets>
    <sheet name="A. Control of the robot" sheetId="3" r:id="rId1"/>
    <sheet name="B. Part of my body" sheetId="4" r:id="rId2"/>
    <sheet name="manually_pruned_data" sheetId="2" r:id="rId3"/>
    <sheet name="Sheet1" sheetId="5" r:id="rId4"/>
  </sheets>
  <definedNames>
    <definedName name="ExternalData_1" localSheetId="2" hidden="1">manually_pruned_data!$A$1:$E$156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4" l="1"/>
  <c r="B53" i="3"/>
  <c r="B43" i="3"/>
  <c r="B42" i="3"/>
  <c r="B40" i="3" a="1"/>
  <c r="B40" i="3" s="1"/>
  <c r="G37" i="3"/>
  <c r="I5" i="3" s="1"/>
  <c r="B57" i="4"/>
  <c r="F61" i="4" s="1"/>
  <c r="B65" i="4"/>
  <c r="D64" i="4" s="1"/>
  <c r="F64" i="4"/>
  <c r="B62" i="4"/>
  <c r="D61" i="4" s="1"/>
  <c r="B59" i="4"/>
  <c r="B62" i="3"/>
  <c r="B59" i="3"/>
  <c r="F64" i="3" s="1"/>
  <c r="F61" i="3"/>
  <c r="B38" i="4"/>
  <c r="G37" i="4"/>
  <c r="I6" i="4" s="1"/>
  <c r="M8" i="4"/>
  <c r="K10" i="4"/>
  <c r="I12" i="4"/>
  <c r="L13" i="4"/>
  <c r="J15" i="4"/>
  <c r="M16" i="4"/>
  <c r="K18" i="4"/>
  <c r="I20" i="4"/>
  <c r="L21" i="4"/>
  <c r="J23" i="4"/>
  <c r="M24" i="4"/>
  <c r="K26" i="4"/>
  <c r="I28" i="4"/>
  <c r="L29" i="4"/>
  <c r="J31" i="4"/>
  <c r="M32" i="4"/>
  <c r="K34" i="4"/>
  <c r="B41" i="4" a="1"/>
  <c r="B41" i="4" s="1"/>
  <c r="C37" i="4"/>
  <c r="D37" i="4"/>
  <c r="E37" i="4"/>
  <c r="F37" i="4"/>
  <c r="B37" i="4"/>
  <c r="H6" i="4"/>
  <c r="H5" i="4"/>
  <c r="B39" i="3" a="1"/>
  <c r="B39" i="3" s="1"/>
  <c r="B49" i="3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B47" i="3"/>
  <c r="B48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5" i="3"/>
  <c r="B41" i="3" s="1" a="1"/>
  <c r="B41" i="3" s="1"/>
  <c r="C37" i="3"/>
  <c r="D37" i="3"/>
  <c r="E37" i="3"/>
  <c r="F37" i="3"/>
  <c r="B37" i="3"/>
  <c r="B56" i="3" l="1"/>
  <c r="M35" i="4"/>
  <c r="J34" i="4"/>
  <c r="L32" i="4"/>
  <c r="I31" i="4"/>
  <c r="K29" i="4"/>
  <c r="M27" i="4"/>
  <c r="J26" i="4"/>
  <c r="L24" i="4"/>
  <c r="I23" i="4"/>
  <c r="K21" i="4"/>
  <c r="M19" i="4"/>
  <c r="J18" i="4"/>
  <c r="L16" i="4"/>
  <c r="I15" i="4"/>
  <c r="K13" i="4"/>
  <c r="M11" i="4"/>
  <c r="J10" i="4"/>
  <c r="L8" i="4"/>
  <c r="L35" i="4"/>
  <c r="I34" i="4"/>
  <c r="K32" i="4"/>
  <c r="M30" i="4"/>
  <c r="J29" i="4"/>
  <c r="L27" i="4"/>
  <c r="I26" i="4"/>
  <c r="K24" i="4"/>
  <c r="M22" i="4"/>
  <c r="J21" i="4"/>
  <c r="L19" i="4"/>
  <c r="I18" i="4"/>
  <c r="K16" i="4"/>
  <c r="M14" i="4"/>
  <c r="J13" i="4"/>
  <c r="L11" i="4"/>
  <c r="I10" i="4"/>
  <c r="K8" i="4"/>
  <c r="K35" i="4"/>
  <c r="M33" i="4"/>
  <c r="J32" i="4"/>
  <c r="L30" i="4"/>
  <c r="I29" i="4"/>
  <c r="K27" i="4"/>
  <c r="M25" i="4"/>
  <c r="J24" i="4"/>
  <c r="L22" i="4"/>
  <c r="I21" i="4"/>
  <c r="K19" i="4"/>
  <c r="M17" i="4"/>
  <c r="J16" i="4"/>
  <c r="L14" i="4"/>
  <c r="I13" i="4"/>
  <c r="K11" i="4"/>
  <c r="M9" i="4"/>
  <c r="J8" i="4"/>
  <c r="J35" i="4"/>
  <c r="L33" i="4"/>
  <c r="I32" i="4"/>
  <c r="K30" i="4"/>
  <c r="M28" i="4"/>
  <c r="J27" i="4"/>
  <c r="L25" i="4"/>
  <c r="I24" i="4"/>
  <c r="K22" i="4"/>
  <c r="M20" i="4"/>
  <c r="J19" i="4"/>
  <c r="L17" i="4"/>
  <c r="I16" i="4"/>
  <c r="K14" i="4"/>
  <c r="M12" i="4"/>
  <c r="J11" i="4"/>
  <c r="L9" i="4"/>
  <c r="I8" i="4"/>
  <c r="I35" i="4"/>
  <c r="K33" i="4"/>
  <c r="M31" i="4"/>
  <c r="J30" i="4"/>
  <c r="L28" i="4"/>
  <c r="I27" i="4"/>
  <c r="K25" i="4"/>
  <c r="M23" i="4"/>
  <c r="J22" i="4"/>
  <c r="L20" i="4"/>
  <c r="I19" i="4"/>
  <c r="K17" i="4"/>
  <c r="M15" i="4"/>
  <c r="J14" i="4"/>
  <c r="L12" i="4"/>
  <c r="I11" i="4"/>
  <c r="K9" i="4"/>
  <c r="M7" i="4"/>
  <c r="M34" i="4"/>
  <c r="J33" i="4"/>
  <c r="L31" i="4"/>
  <c r="I30" i="4"/>
  <c r="K28" i="4"/>
  <c r="M26" i="4"/>
  <c r="J25" i="4"/>
  <c r="L23" i="4"/>
  <c r="I22" i="4"/>
  <c r="K20" i="4"/>
  <c r="M18" i="4"/>
  <c r="J17" i="4"/>
  <c r="L15" i="4"/>
  <c r="I14" i="4"/>
  <c r="K12" i="4"/>
  <c r="M10" i="4"/>
  <c r="J9" i="4"/>
  <c r="L7" i="4"/>
  <c r="L34" i="4"/>
  <c r="I33" i="4"/>
  <c r="K31" i="4"/>
  <c r="M29" i="4"/>
  <c r="J28" i="4"/>
  <c r="L26" i="4"/>
  <c r="I25" i="4"/>
  <c r="K23" i="4"/>
  <c r="M21" i="4"/>
  <c r="J20" i="4"/>
  <c r="L18" i="4"/>
  <c r="I17" i="4"/>
  <c r="K15" i="4"/>
  <c r="M13" i="4"/>
  <c r="J12" i="4"/>
  <c r="L10" i="4"/>
  <c r="I9" i="4"/>
  <c r="K7" i="4"/>
  <c r="J7" i="4"/>
  <c r="I7" i="4"/>
  <c r="M6" i="4"/>
  <c r="L6" i="4"/>
  <c r="K6" i="4"/>
  <c r="J6" i="4"/>
  <c r="B39" i="4" a="1"/>
  <c r="B39" i="4" s="1"/>
  <c r="C38" i="4"/>
  <c r="B40" i="4" a="1"/>
  <c r="B40" i="4" s="1"/>
  <c r="B50" i="3"/>
  <c r="C38" i="3"/>
  <c r="J31" i="3"/>
  <c r="K7" i="3"/>
  <c r="M12" i="3"/>
  <c r="J27" i="3"/>
  <c r="J5" i="3"/>
  <c r="I27" i="3"/>
  <c r="L25" i="3"/>
  <c r="K34" i="3"/>
  <c r="E38" i="3"/>
  <c r="M32" i="3"/>
  <c r="K22" i="3"/>
  <c r="K10" i="3"/>
  <c r="J30" i="3"/>
  <c r="K18" i="3"/>
  <c r="K17" i="3"/>
  <c r="K14" i="3"/>
  <c r="J35" i="3"/>
  <c r="J14" i="3"/>
  <c r="F38" i="3"/>
  <c r="J23" i="3"/>
  <c r="D38" i="3"/>
  <c r="M31" i="3"/>
  <c r="L21" i="3"/>
  <c r="L9" i="3"/>
  <c r="I19" i="3"/>
  <c r="M8" i="3"/>
  <c r="I35" i="3"/>
  <c r="K30" i="3"/>
  <c r="K26" i="3"/>
  <c r="J22" i="3"/>
  <c r="L17" i="3"/>
  <c r="L13" i="3"/>
  <c r="K9" i="3"/>
  <c r="L33" i="3"/>
  <c r="L29" i="3"/>
  <c r="K25" i="3"/>
  <c r="M20" i="3"/>
  <c r="M16" i="3"/>
  <c r="L12" i="3"/>
  <c r="I8" i="3"/>
  <c r="K33" i="3"/>
  <c r="M28" i="3"/>
  <c r="M24" i="3"/>
  <c r="L20" i="3"/>
  <c r="I16" i="3"/>
  <c r="I12" i="3"/>
  <c r="M7" i="3"/>
  <c r="J7" i="3"/>
  <c r="L28" i="3"/>
  <c r="I24" i="3"/>
  <c r="I20" i="3"/>
  <c r="M15" i="3"/>
  <c r="J11" i="3"/>
  <c r="M5" i="3"/>
  <c r="I32" i="3"/>
  <c r="I28" i="3"/>
  <c r="M23" i="3"/>
  <c r="J19" i="3"/>
  <c r="J15" i="3"/>
  <c r="I11" i="3"/>
  <c r="K6" i="3"/>
  <c r="M35" i="3"/>
  <c r="J34" i="3"/>
  <c r="L32" i="3"/>
  <c r="I31" i="3"/>
  <c r="K29" i="3"/>
  <c r="M27" i="3"/>
  <c r="J26" i="3"/>
  <c r="L24" i="3"/>
  <c r="I23" i="3"/>
  <c r="K21" i="3"/>
  <c r="M19" i="3"/>
  <c r="J18" i="3"/>
  <c r="L16" i="3"/>
  <c r="I15" i="3"/>
  <c r="K13" i="3"/>
  <c r="M11" i="3"/>
  <c r="J10" i="3"/>
  <c r="L8" i="3"/>
  <c r="I7" i="3"/>
  <c r="L35" i="3"/>
  <c r="I34" i="3"/>
  <c r="K32" i="3"/>
  <c r="M30" i="3"/>
  <c r="J29" i="3"/>
  <c r="L27" i="3"/>
  <c r="I26" i="3"/>
  <c r="K24" i="3"/>
  <c r="M22" i="3"/>
  <c r="J21" i="3"/>
  <c r="L19" i="3"/>
  <c r="I18" i="3"/>
  <c r="K16" i="3"/>
  <c r="M14" i="3"/>
  <c r="J13" i="3"/>
  <c r="L11" i="3"/>
  <c r="I10" i="3"/>
  <c r="K8" i="3"/>
  <c r="M6" i="3"/>
  <c r="K35" i="3"/>
  <c r="M33" i="3"/>
  <c r="J32" i="3"/>
  <c r="L30" i="3"/>
  <c r="I29" i="3"/>
  <c r="K27" i="3"/>
  <c r="M25" i="3"/>
  <c r="J24" i="3"/>
  <c r="L22" i="3"/>
  <c r="I21" i="3"/>
  <c r="K19" i="3"/>
  <c r="M17" i="3"/>
  <c r="J16" i="3"/>
  <c r="L14" i="3"/>
  <c r="I13" i="3"/>
  <c r="K11" i="3"/>
  <c r="M9" i="3"/>
  <c r="J8" i="3"/>
  <c r="L6" i="3"/>
  <c r="J6" i="3"/>
  <c r="I6" i="3"/>
  <c r="L5" i="3"/>
  <c r="M34" i="3"/>
  <c r="J33" i="3"/>
  <c r="L31" i="3"/>
  <c r="I30" i="3"/>
  <c r="K28" i="3"/>
  <c r="M26" i="3"/>
  <c r="J25" i="3"/>
  <c r="L23" i="3"/>
  <c r="I22" i="3"/>
  <c r="K20" i="3"/>
  <c r="M18" i="3"/>
  <c r="J17" i="3"/>
  <c r="L15" i="3"/>
  <c r="I14" i="3"/>
  <c r="K12" i="3"/>
  <c r="M10" i="3"/>
  <c r="J9" i="3"/>
  <c r="L7" i="3"/>
  <c r="B38" i="3"/>
  <c r="K5" i="3"/>
  <c r="L34" i="3"/>
  <c r="I33" i="3"/>
  <c r="K31" i="3"/>
  <c r="M29" i="3"/>
  <c r="J28" i="3"/>
  <c r="L26" i="3"/>
  <c r="I25" i="3"/>
  <c r="K23" i="3"/>
  <c r="M21" i="3"/>
  <c r="J20" i="3"/>
  <c r="L18" i="3"/>
  <c r="I17" i="3"/>
  <c r="K15" i="3"/>
  <c r="M13" i="3"/>
  <c r="J12" i="3"/>
  <c r="L10" i="3"/>
  <c r="I9" i="3"/>
  <c r="E38" i="4"/>
  <c r="D38" i="4" l="1"/>
  <c r="B43" i="4"/>
  <c r="B50" i="4"/>
  <c r="F38" i="4"/>
  <c r="B42" i="4"/>
  <c r="B44" i="3" l="1"/>
  <c r="B51" i="3"/>
  <c r="B52" i="3" s="1"/>
  <c r="B44" i="4"/>
  <c r="B51" i="4"/>
  <c r="B52" i="4"/>
  <c r="D61" i="3" l="1"/>
  <c r="B65" i="3"/>
  <c r="D64" i="3" s="1"/>
  <c r="D58" i="3"/>
  <c r="D58" i="4"/>
  <c r="D56" i="4"/>
  <c r="F58" i="4" l="1"/>
  <c r="F56" i="4"/>
  <c r="D55" i="3"/>
  <c r="F58" i="3" l="1"/>
  <c r="F5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508AF7-D772-8E44-A6F2-1798E54B7A48}" keepAlive="1" name="Query - manually_pruned_data" description="Connection to the 'manually_pruned_data' query in the workbook." type="5" refreshedVersion="8" background="1" saveData="1">
    <dbPr connection="Provider=Microsoft.Mashup.OleDb.1;Data Source=$Workbook$;Location=manually_pruned_data;Extended Properties=&quot;&quot;" command="SELECT * FROM [manually_pruned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<sst xmlns="http://schemas.openxmlformats.org/spreadsheetml/2006/main" count="262" uniqueCount="41">
  <si>
    <t>Participant_ID</t>
  </si>
  <si>
    <t>Latency</t>
  </si>
  <si>
    <t>Run_Number</t>
  </si>
  <si>
    <t>I felt like I was controlling the movement of the robot</t>
  </si>
  <si>
    <t>It felt like the robot was part of my body</t>
  </si>
  <si>
    <t>0ms</t>
  </si>
  <si>
    <t>50ms</t>
  </si>
  <si>
    <t>100ms</t>
  </si>
  <si>
    <t>150ms</t>
  </si>
  <si>
    <t>200ms</t>
  </si>
  <si>
    <t>Grand Total</t>
  </si>
  <si>
    <t>Column Labels</t>
  </si>
  <si>
    <t>Sum of I felt like I was controlling the movement of the robot</t>
  </si>
  <si>
    <t>Sum of It felt like the robot was part of my body</t>
  </si>
  <si>
    <t xml:space="preserve"> I felt like I was controlling the movement of the robot</t>
  </si>
  <si>
    <t>Column mean</t>
  </si>
  <si>
    <t>Effect</t>
  </si>
  <si>
    <t>SST</t>
  </si>
  <si>
    <t>SS_Participant</t>
  </si>
  <si>
    <t>&lt;- Overall mean</t>
  </si>
  <si>
    <t>Squared deviation</t>
  </si>
  <si>
    <t>SSA</t>
  </si>
  <si>
    <t>SSE</t>
  </si>
  <si>
    <t>Row mean</t>
  </si>
  <si>
    <t>SSA/SST</t>
  </si>
  <si>
    <t>SSE/SST</t>
  </si>
  <si>
    <t>Comparing SSE and SSA</t>
  </si>
  <si>
    <t>df_latency</t>
  </si>
  <si>
    <t>df_participant</t>
  </si>
  <si>
    <t>df_error</t>
  </si>
  <si>
    <t>MSA</t>
  </si>
  <si>
    <t>MSE</t>
  </si>
  <si>
    <t>a</t>
  </si>
  <si>
    <t>Critical F-value</t>
  </si>
  <si>
    <t>Paricipant #</t>
  </si>
  <si>
    <t>SSA (ss_latency)</t>
  </si>
  <si>
    <t>Participant #</t>
  </si>
  <si>
    <t>F&gt;Fcrit</t>
  </si>
  <si>
    <t>p&lt;a</t>
  </si>
  <si>
    <t>F_latency</t>
  </si>
  <si>
    <t>P (RT)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</si>
</sst>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000000000"/>
    <numFmt numFmtId="166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3"/>
      <color theme="1"/>
      <name val="Arial"/>
      <family val="2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3" fillId="0" borderId="0" xfId="0" applyNumberFormat="1" applyFont="1"/>
    <xf numFmtId="0" fontId="3" fillId="0" borderId="0" xfId="0" applyFont="1"/>
    <xf numFmtId="0" fontId="2" fillId="2" borderId="0" xfId="0" applyFont="1" applyFill="1"/>
    <xf numFmtId="164" fontId="0" fillId="0" borderId="0" xfId="1" applyFont="1"/>
    <xf numFmtId="0" fontId="0" fillId="0" borderId="2" xfId="0" applyBorder="1"/>
    <xf numFmtId="2" fontId="0" fillId="0" borderId="3" xfId="0" applyNumberFormat="1" applyBorder="1"/>
    <xf numFmtId="2" fontId="0" fillId="0" borderId="4" xfId="0" applyNumberFormat="1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4" fillId="0" borderId="0" xfId="0" applyFont="1"/>
    <xf numFmtId="0" fontId="5" fillId="0" borderId="0" xfId="0" applyFont="1"/>
    <xf numFmtId="0" fontId="0" fillId="5" borderId="0" xfId="0" applyFill="1"/>
    <xf numFmtId="2" fontId="5" fillId="0" borderId="0" xfId="0" applyNumberFormat="1" applyFont="1"/>
    <xf numFmtId="2" fontId="5" fillId="0" borderId="1" xfId="0" applyNumberFormat="1" applyFont="1" applyBorder="1"/>
    <xf numFmtId="166" fontId="0" fillId="0" borderId="0" xfId="1" applyNumberFormat="1" applyFont="1"/>
    <xf numFmtId="0" fontId="2" fillId="0" borderId="0" xfId="0" applyFont="1"/>
    <xf numFmtId="0" fontId="0" fillId="3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Uhnger" refreshedDate="45983.642330787035" createdVersion="8" refreshedVersion="8" minRefreshableVersion="3" recordCount="155" xr:uid="{3396764D-30FC-3140-BEF9-ED5E72E25DCF}">
  <cacheSource type="worksheet">
    <worksheetSource name="manually_pruned_data"/>
  </cacheSource>
  <cacheFields count="5">
    <cacheField name="Participant_ID" numFmtId="0">
      <sharedItems containsSemiMixedTypes="0" containsString="0" containsNumber="1" containsInteger="1" minValue="1" maxValue="38" count="31">
        <n v="1"/>
        <n v="5"/>
        <n v="6"/>
        <n v="7"/>
        <n v="8"/>
        <n v="9"/>
        <n v="10"/>
        <n v="12"/>
        <n v="13"/>
        <n v="14"/>
        <n v="15"/>
        <n v="16"/>
        <n v="17"/>
        <n v="18"/>
        <n v="19"/>
        <n v="20"/>
        <n v="21"/>
        <n v="22"/>
        <n v="24"/>
        <n v="25"/>
        <n v="26"/>
        <n v="27"/>
        <n v="28"/>
        <n v="29"/>
        <n v="30"/>
        <n v="31"/>
        <n v="34"/>
        <n v="35"/>
        <n v="36"/>
        <n v="37"/>
        <n v="38"/>
      </sharedItems>
    </cacheField>
    <cacheField name="Latency" numFmtId="0">
      <sharedItems count="5">
        <s v="0ms"/>
        <s v="50ms"/>
        <s v="100ms"/>
        <s v="150ms"/>
        <s v="200ms"/>
      </sharedItems>
    </cacheField>
    <cacheField name="Run_Number" numFmtId="0">
      <sharedItems containsSemiMixedTypes="0" containsString="0" containsNumber="1" containsInteger="1" minValue="1" maxValue="13"/>
    </cacheField>
    <cacheField name="I felt like I was controlling the movement of the robot" numFmtId="0">
      <sharedItems containsSemiMixedTypes="0" containsString="0" containsNumber="1" containsInteger="1" minValue="2" maxValue="5"/>
    </cacheField>
    <cacheField name="It felt like the robot was part of my bod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n v="10"/>
    <n v="4"/>
    <n v="1"/>
  </r>
  <r>
    <x v="0"/>
    <x v="1"/>
    <n v="3"/>
    <n v="4"/>
    <n v="1"/>
  </r>
  <r>
    <x v="0"/>
    <x v="2"/>
    <n v="6"/>
    <n v="4"/>
    <n v="1"/>
  </r>
  <r>
    <x v="0"/>
    <x v="3"/>
    <n v="5"/>
    <n v="4"/>
    <n v="1"/>
  </r>
  <r>
    <x v="0"/>
    <x v="4"/>
    <n v="2"/>
    <n v="3"/>
    <n v="1"/>
  </r>
  <r>
    <x v="1"/>
    <x v="0"/>
    <n v="4"/>
    <n v="5"/>
    <n v="1"/>
  </r>
  <r>
    <x v="1"/>
    <x v="1"/>
    <n v="7"/>
    <n v="5"/>
    <n v="1"/>
  </r>
  <r>
    <x v="1"/>
    <x v="2"/>
    <n v="6"/>
    <n v="5"/>
    <n v="2"/>
  </r>
  <r>
    <x v="1"/>
    <x v="3"/>
    <n v="2"/>
    <n v="5"/>
    <n v="2"/>
  </r>
  <r>
    <x v="1"/>
    <x v="4"/>
    <n v="3"/>
    <n v="5"/>
    <n v="2"/>
  </r>
  <r>
    <x v="2"/>
    <x v="0"/>
    <n v="10"/>
    <n v="3"/>
    <n v="3"/>
  </r>
  <r>
    <x v="2"/>
    <x v="1"/>
    <n v="4"/>
    <n v="3"/>
    <n v="3"/>
  </r>
  <r>
    <x v="2"/>
    <x v="2"/>
    <n v="1"/>
    <n v="3"/>
    <n v="2"/>
  </r>
  <r>
    <x v="2"/>
    <x v="3"/>
    <n v="8"/>
    <n v="2"/>
    <n v="2"/>
  </r>
  <r>
    <x v="2"/>
    <x v="4"/>
    <n v="6"/>
    <n v="3"/>
    <n v="4"/>
  </r>
  <r>
    <x v="3"/>
    <x v="0"/>
    <n v="4"/>
    <n v="4"/>
    <n v="2"/>
  </r>
  <r>
    <x v="3"/>
    <x v="1"/>
    <n v="3"/>
    <n v="3"/>
    <n v="2"/>
  </r>
  <r>
    <x v="3"/>
    <x v="2"/>
    <n v="7"/>
    <n v="4"/>
    <n v="4"/>
  </r>
  <r>
    <x v="3"/>
    <x v="3"/>
    <n v="8"/>
    <n v="4"/>
    <n v="3"/>
  </r>
  <r>
    <x v="3"/>
    <x v="4"/>
    <n v="5"/>
    <n v="3"/>
    <n v="3"/>
  </r>
  <r>
    <x v="4"/>
    <x v="0"/>
    <n v="2"/>
    <n v="4"/>
    <n v="3"/>
  </r>
  <r>
    <x v="4"/>
    <x v="1"/>
    <n v="3"/>
    <n v="5"/>
    <n v="3"/>
  </r>
  <r>
    <x v="4"/>
    <x v="2"/>
    <n v="1"/>
    <n v="3"/>
    <n v="3"/>
  </r>
  <r>
    <x v="4"/>
    <x v="3"/>
    <n v="6"/>
    <n v="4"/>
    <n v="3"/>
  </r>
  <r>
    <x v="4"/>
    <x v="4"/>
    <n v="4"/>
    <n v="2"/>
    <n v="2"/>
  </r>
  <r>
    <x v="5"/>
    <x v="0"/>
    <n v="1"/>
    <n v="5"/>
    <n v="4"/>
  </r>
  <r>
    <x v="5"/>
    <x v="1"/>
    <n v="6"/>
    <n v="5"/>
    <n v="4"/>
  </r>
  <r>
    <x v="5"/>
    <x v="2"/>
    <n v="4"/>
    <n v="4"/>
    <n v="3"/>
  </r>
  <r>
    <x v="5"/>
    <x v="3"/>
    <n v="5"/>
    <n v="4"/>
    <n v="3"/>
  </r>
  <r>
    <x v="5"/>
    <x v="4"/>
    <n v="2"/>
    <n v="4"/>
    <n v="2"/>
  </r>
  <r>
    <x v="6"/>
    <x v="0"/>
    <n v="9"/>
    <n v="2"/>
    <n v="3"/>
  </r>
  <r>
    <x v="6"/>
    <x v="1"/>
    <n v="2"/>
    <n v="5"/>
    <n v="4"/>
  </r>
  <r>
    <x v="6"/>
    <x v="2"/>
    <n v="7"/>
    <n v="4"/>
    <n v="4"/>
  </r>
  <r>
    <x v="6"/>
    <x v="3"/>
    <n v="8"/>
    <n v="2"/>
    <n v="2"/>
  </r>
  <r>
    <x v="6"/>
    <x v="4"/>
    <n v="1"/>
    <n v="3"/>
    <n v="2"/>
  </r>
  <r>
    <x v="7"/>
    <x v="0"/>
    <n v="3"/>
    <n v="4"/>
    <n v="3"/>
  </r>
  <r>
    <x v="7"/>
    <x v="1"/>
    <n v="4"/>
    <n v="3"/>
    <n v="2"/>
  </r>
  <r>
    <x v="7"/>
    <x v="2"/>
    <n v="1"/>
    <n v="5"/>
    <n v="4"/>
  </r>
  <r>
    <x v="7"/>
    <x v="3"/>
    <n v="5"/>
    <n v="3"/>
    <n v="3"/>
  </r>
  <r>
    <x v="7"/>
    <x v="4"/>
    <n v="2"/>
    <n v="2"/>
    <n v="2"/>
  </r>
  <r>
    <x v="8"/>
    <x v="0"/>
    <n v="3"/>
    <n v="3"/>
    <n v="2"/>
  </r>
  <r>
    <x v="8"/>
    <x v="1"/>
    <n v="5"/>
    <n v="3"/>
    <n v="2"/>
  </r>
  <r>
    <x v="8"/>
    <x v="2"/>
    <n v="4"/>
    <n v="4"/>
    <n v="3"/>
  </r>
  <r>
    <x v="8"/>
    <x v="3"/>
    <n v="1"/>
    <n v="3"/>
    <n v="3"/>
  </r>
  <r>
    <x v="8"/>
    <x v="4"/>
    <n v="2"/>
    <n v="3"/>
    <n v="2"/>
  </r>
  <r>
    <x v="9"/>
    <x v="0"/>
    <n v="2"/>
    <n v="4"/>
    <n v="4"/>
  </r>
  <r>
    <x v="9"/>
    <x v="1"/>
    <n v="1"/>
    <n v="5"/>
    <n v="5"/>
  </r>
  <r>
    <x v="9"/>
    <x v="2"/>
    <n v="4"/>
    <n v="5"/>
    <n v="3"/>
  </r>
  <r>
    <x v="9"/>
    <x v="3"/>
    <n v="5"/>
    <n v="4"/>
    <n v="4"/>
  </r>
  <r>
    <x v="9"/>
    <x v="4"/>
    <n v="3"/>
    <n v="5"/>
    <n v="4"/>
  </r>
  <r>
    <x v="10"/>
    <x v="0"/>
    <n v="4"/>
    <n v="5"/>
    <n v="4"/>
  </r>
  <r>
    <x v="10"/>
    <x v="1"/>
    <n v="3"/>
    <n v="5"/>
    <n v="4"/>
  </r>
  <r>
    <x v="10"/>
    <x v="2"/>
    <n v="5"/>
    <n v="5"/>
    <n v="4"/>
  </r>
  <r>
    <x v="10"/>
    <x v="3"/>
    <n v="2"/>
    <n v="5"/>
    <n v="3"/>
  </r>
  <r>
    <x v="10"/>
    <x v="4"/>
    <n v="8"/>
    <n v="5"/>
    <n v="4"/>
  </r>
  <r>
    <x v="11"/>
    <x v="0"/>
    <n v="5"/>
    <n v="5"/>
    <n v="2"/>
  </r>
  <r>
    <x v="11"/>
    <x v="1"/>
    <n v="4"/>
    <n v="5"/>
    <n v="3"/>
  </r>
  <r>
    <x v="11"/>
    <x v="2"/>
    <n v="2"/>
    <n v="5"/>
    <n v="2"/>
  </r>
  <r>
    <x v="11"/>
    <x v="3"/>
    <n v="3"/>
    <n v="5"/>
    <n v="4"/>
  </r>
  <r>
    <x v="11"/>
    <x v="4"/>
    <n v="1"/>
    <n v="5"/>
    <n v="4"/>
  </r>
  <r>
    <x v="12"/>
    <x v="0"/>
    <n v="4"/>
    <n v="5"/>
    <n v="2"/>
  </r>
  <r>
    <x v="12"/>
    <x v="1"/>
    <n v="1"/>
    <n v="5"/>
    <n v="2"/>
  </r>
  <r>
    <x v="12"/>
    <x v="2"/>
    <n v="2"/>
    <n v="5"/>
    <n v="2"/>
  </r>
  <r>
    <x v="12"/>
    <x v="3"/>
    <n v="7"/>
    <n v="5"/>
    <n v="4"/>
  </r>
  <r>
    <x v="12"/>
    <x v="4"/>
    <n v="3"/>
    <n v="4"/>
    <n v="1"/>
  </r>
  <r>
    <x v="13"/>
    <x v="0"/>
    <n v="6"/>
    <n v="5"/>
    <n v="2"/>
  </r>
  <r>
    <x v="13"/>
    <x v="1"/>
    <n v="2"/>
    <n v="5"/>
    <n v="3"/>
  </r>
  <r>
    <x v="13"/>
    <x v="2"/>
    <n v="5"/>
    <n v="4"/>
    <n v="2"/>
  </r>
  <r>
    <x v="13"/>
    <x v="3"/>
    <n v="3"/>
    <n v="5"/>
    <n v="2"/>
  </r>
  <r>
    <x v="13"/>
    <x v="4"/>
    <n v="1"/>
    <n v="5"/>
    <n v="3"/>
  </r>
  <r>
    <x v="14"/>
    <x v="0"/>
    <n v="5"/>
    <n v="4"/>
    <n v="2"/>
  </r>
  <r>
    <x v="14"/>
    <x v="1"/>
    <n v="3"/>
    <n v="4"/>
    <n v="3"/>
  </r>
  <r>
    <x v="14"/>
    <x v="2"/>
    <n v="4"/>
    <n v="4"/>
    <n v="3"/>
  </r>
  <r>
    <x v="14"/>
    <x v="3"/>
    <n v="1"/>
    <n v="5"/>
    <n v="3"/>
  </r>
  <r>
    <x v="14"/>
    <x v="4"/>
    <n v="7"/>
    <n v="3"/>
    <n v="2"/>
  </r>
  <r>
    <x v="15"/>
    <x v="0"/>
    <n v="5"/>
    <n v="4"/>
    <n v="3"/>
  </r>
  <r>
    <x v="15"/>
    <x v="1"/>
    <n v="4"/>
    <n v="5"/>
    <n v="3"/>
  </r>
  <r>
    <x v="15"/>
    <x v="2"/>
    <n v="3"/>
    <n v="4"/>
    <n v="3"/>
  </r>
  <r>
    <x v="15"/>
    <x v="3"/>
    <n v="7"/>
    <n v="4"/>
    <n v="3"/>
  </r>
  <r>
    <x v="15"/>
    <x v="4"/>
    <n v="6"/>
    <n v="4"/>
    <n v="3"/>
  </r>
  <r>
    <x v="16"/>
    <x v="0"/>
    <n v="9"/>
    <n v="5"/>
    <n v="3"/>
  </r>
  <r>
    <x v="16"/>
    <x v="1"/>
    <n v="7"/>
    <n v="5"/>
    <n v="4"/>
  </r>
  <r>
    <x v="16"/>
    <x v="2"/>
    <n v="6"/>
    <n v="3"/>
    <n v="2"/>
  </r>
  <r>
    <x v="16"/>
    <x v="3"/>
    <n v="5"/>
    <n v="3"/>
    <n v="2"/>
  </r>
  <r>
    <x v="16"/>
    <x v="4"/>
    <n v="4"/>
    <n v="5"/>
    <n v="4"/>
  </r>
  <r>
    <x v="17"/>
    <x v="0"/>
    <n v="7"/>
    <n v="5"/>
    <n v="4"/>
  </r>
  <r>
    <x v="17"/>
    <x v="1"/>
    <n v="8"/>
    <n v="5"/>
    <n v="4"/>
  </r>
  <r>
    <x v="17"/>
    <x v="2"/>
    <n v="13"/>
    <n v="5"/>
    <n v="5"/>
  </r>
  <r>
    <x v="17"/>
    <x v="3"/>
    <n v="4"/>
    <n v="5"/>
    <n v="4"/>
  </r>
  <r>
    <x v="17"/>
    <x v="4"/>
    <n v="6"/>
    <n v="4"/>
    <n v="4"/>
  </r>
  <r>
    <x v="18"/>
    <x v="0"/>
    <n v="6"/>
    <n v="5"/>
    <n v="5"/>
  </r>
  <r>
    <x v="18"/>
    <x v="1"/>
    <n v="5"/>
    <n v="5"/>
    <n v="5"/>
  </r>
  <r>
    <x v="18"/>
    <x v="2"/>
    <n v="7"/>
    <n v="5"/>
    <n v="4"/>
  </r>
  <r>
    <x v="18"/>
    <x v="3"/>
    <n v="4"/>
    <n v="4"/>
    <n v="4"/>
  </r>
  <r>
    <x v="18"/>
    <x v="4"/>
    <n v="3"/>
    <n v="5"/>
    <n v="4"/>
  </r>
  <r>
    <x v="19"/>
    <x v="0"/>
    <n v="2"/>
    <n v="4"/>
    <n v="4"/>
  </r>
  <r>
    <x v="19"/>
    <x v="1"/>
    <n v="1"/>
    <n v="4"/>
    <n v="4"/>
  </r>
  <r>
    <x v="19"/>
    <x v="2"/>
    <n v="6"/>
    <n v="3"/>
    <n v="2"/>
  </r>
  <r>
    <x v="19"/>
    <x v="3"/>
    <n v="3"/>
    <n v="3"/>
    <n v="2"/>
  </r>
  <r>
    <x v="19"/>
    <x v="4"/>
    <n v="5"/>
    <n v="3"/>
    <n v="1"/>
  </r>
  <r>
    <x v="20"/>
    <x v="0"/>
    <n v="7"/>
    <n v="3"/>
    <n v="3"/>
  </r>
  <r>
    <x v="20"/>
    <x v="1"/>
    <n v="10"/>
    <n v="3"/>
    <n v="2"/>
  </r>
  <r>
    <x v="20"/>
    <x v="2"/>
    <n v="5"/>
    <n v="4"/>
    <n v="3"/>
  </r>
  <r>
    <x v="20"/>
    <x v="3"/>
    <n v="8"/>
    <n v="4"/>
    <n v="2"/>
  </r>
  <r>
    <x v="20"/>
    <x v="4"/>
    <n v="2"/>
    <n v="3"/>
    <n v="3"/>
  </r>
  <r>
    <x v="21"/>
    <x v="0"/>
    <n v="5"/>
    <n v="5"/>
    <n v="2"/>
  </r>
  <r>
    <x v="21"/>
    <x v="1"/>
    <n v="2"/>
    <n v="4"/>
    <n v="3"/>
  </r>
  <r>
    <x v="21"/>
    <x v="2"/>
    <n v="1"/>
    <n v="4"/>
    <n v="3"/>
  </r>
  <r>
    <x v="21"/>
    <x v="3"/>
    <n v="4"/>
    <n v="5"/>
    <n v="4"/>
  </r>
  <r>
    <x v="21"/>
    <x v="4"/>
    <n v="6"/>
    <n v="2"/>
    <n v="1"/>
  </r>
  <r>
    <x v="22"/>
    <x v="0"/>
    <n v="4"/>
    <n v="4"/>
    <n v="1"/>
  </r>
  <r>
    <x v="22"/>
    <x v="1"/>
    <n v="1"/>
    <n v="4"/>
    <n v="2"/>
  </r>
  <r>
    <x v="22"/>
    <x v="2"/>
    <n v="6"/>
    <n v="4"/>
    <n v="1"/>
  </r>
  <r>
    <x v="22"/>
    <x v="3"/>
    <n v="3"/>
    <n v="5"/>
    <n v="3"/>
  </r>
  <r>
    <x v="22"/>
    <x v="4"/>
    <n v="2"/>
    <n v="3"/>
    <n v="1"/>
  </r>
  <r>
    <x v="23"/>
    <x v="0"/>
    <n v="1"/>
    <n v="5"/>
    <n v="4"/>
  </r>
  <r>
    <x v="23"/>
    <x v="1"/>
    <n v="2"/>
    <n v="5"/>
    <n v="2"/>
  </r>
  <r>
    <x v="23"/>
    <x v="2"/>
    <n v="3"/>
    <n v="4"/>
    <n v="1"/>
  </r>
  <r>
    <x v="23"/>
    <x v="3"/>
    <n v="4"/>
    <n v="4"/>
    <n v="2"/>
  </r>
  <r>
    <x v="23"/>
    <x v="4"/>
    <n v="6"/>
    <n v="4"/>
    <n v="2"/>
  </r>
  <r>
    <x v="24"/>
    <x v="0"/>
    <n v="1"/>
    <n v="4"/>
    <n v="2"/>
  </r>
  <r>
    <x v="24"/>
    <x v="1"/>
    <n v="4"/>
    <n v="3"/>
    <n v="3"/>
  </r>
  <r>
    <x v="24"/>
    <x v="2"/>
    <n v="2"/>
    <n v="3"/>
    <n v="3"/>
  </r>
  <r>
    <x v="24"/>
    <x v="3"/>
    <n v="3"/>
    <n v="4"/>
    <n v="3"/>
  </r>
  <r>
    <x v="24"/>
    <x v="4"/>
    <n v="5"/>
    <n v="3"/>
    <n v="2"/>
  </r>
  <r>
    <x v="25"/>
    <x v="0"/>
    <n v="6"/>
    <n v="4"/>
    <n v="2"/>
  </r>
  <r>
    <x v="25"/>
    <x v="1"/>
    <n v="2"/>
    <n v="2"/>
    <n v="1"/>
  </r>
  <r>
    <x v="25"/>
    <x v="2"/>
    <n v="7"/>
    <n v="4"/>
    <n v="2"/>
  </r>
  <r>
    <x v="25"/>
    <x v="3"/>
    <n v="4"/>
    <n v="4"/>
    <n v="3"/>
  </r>
  <r>
    <x v="25"/>
    <x v="4"/>
    <n v="5"/>
    <n v="4"/>
    <n v="3"/>
  </r>
  <r>
    <x v="26"/>
    <x v="0"/>
    <n v="5"/>
    <n v="4"/>
    <n v="5"/>
  </r>
  <r>
    <x v="26"/>
    <x v="1"/>
    <n v="4"/>
    <n v="4"/>
    <n v="5"/>
  </r>
  <r>
    <x v="26"/>
    <x v="2"/>
    <n v="1"/>
    <n v="5"/>
    <n v="5"/>
  </r>
  <r>
    <x v="26"/>
    <x v="3"/>
    <n v="3"/>
    <n v="5"/>
    <n v="5"/>
  </r>
  <r>
    <x v="26"/>
    <x v="4"/>
    <n v="2"/>
    <n v="4"/>
    <n v="5"/>
  </r>
  <r>
    <x v="27"/>
    <x v="0"/>
    <n v="5"/>
    <n v="4"/>
    <n v="3"/>
  </r>
  <r>
    <x v="27"/>
    <x v="1"/>
    <n v="3"/>
    <n v="3"/>
    <n v="2"/>
  </r>
  <r>
    <x v="27"/>
    <x v="2"/>
    <n v="1"/>
    <n v="4"/>
    <n v="3"/>
  </r>
  <r>
    <x v="27"/>
    <x v="3"/>
    <n v="6"/>
    <n v="4"/>
    <n v="2"/>
  </r>
  <r>
    <x v="27"/>
    <x v="4"/>
    <n v="4"/>
    <n v="4"/>
    <n v="3"/>
  </r>
  <r>
    <x v="28"/>
    <x v="0"/>
    <n v="1"/>
    <n v="4"/>
    <n v="2"/>
  </r>
  <r>
    <x v="28"/>
    <x v="1"/>
    <n v="6"/>
    <n v="5"/>
    <n v="3"/>
  </r>
  <r>
    <x v="28"/>
    <x v="2"/>
    <n v="2"/>
    <n v="5"/>
    <n v="4"/>
  </r>
  <r>
    <x v="28"/>
    <x v="3"/>
    <n v="7"/>
    <n v="5"/>
    <n v="4"/>
  </r>
  <r>
    <x v="28"/>
    <x v="4"/>
    <n v="4"/>
    <n v="5"/>
    <n v="3"/>
  </r>
  <r>
    <x v="29"/>
    <x v="0"/>
    <n v="7"/>
    <n v="4"/>
    <n v="3"/>
  </r>
  <r>
    <x v="29"/>
    <x v="1"/>
    <n v="1"/>
    <n v="4"/>
    <n v="3"/>
  </r>
  <r>
    <x v="29"/>
    <x v="2"/>
    <n v="9"/>
    <n v="3"/>
    <n v="3"/>
  </r>
  <r>
    <x v="29"/>
    <x v="3"/>
    <n v="2"/>
    <n v="4"/>
    <n v="4"/>
  </r>
  <r>
    <x v="29"/>
    <x v="4"/>
    <n v="4"/>
    <n v="4"/>
    <n v="4"/>
  </r>
  <r>
    <x v="30"/>
    <x v="0"/>
    <n v="2"/>
    <n v="5"/>
    <n v="4"/>
  </r>
  <r>
    <x v="30"/>
    <x v="1"/>
    <n v="1"/>
    <n v="5"/>
    <n v="4"/>
  </r>
  <r>
    <x v="30"/>
    <x v="2"/>
    <n v="5"/>
    <n v="4"/>
    <n v="3"/>
  </r>
  <r>
    <x v="30"/>
    <x v="3"/>
    <n v="6"/>
    <n v="5"/>
    <n v="4"/>
  </r>
  <r>
    <x v="30"/>
    <x v="4"/>
    <n v="8"/>
    <n v="5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A3B41-0614-5C49-9FBD-D086556B89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ricipant #">
  <location ref="A3:G36" firstHeaderRow="1" firstDataRow="2" firstDataCol="1"/>
  <pivotFields count="5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I felt like I was controlling the movement of the robot" fld="3" baseField="0" baseItem="0"/>
  </dataFields>
  <formats count="2">
    <format dxfId="19">
      <pivotArea collapsedLevelsAreSubtotals="1" fieldPosition="0">
        <references count="1">
          <reference field="0" count="0"/>
        </references>
      </pivotArea>
    </format>
    <format dxfId="18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BE8E2-ABBB-8B47-8B46-42BD33BC489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rticipant #">
  <location ref="A3:G36" firstHeaderRow="1" firstDataRow="2" firstDataCol="1"/>
  <pivotFields count="5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It felt like the robot was part of my bod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CDA6ED-F759-3C49-8A32-A16260F59327}" autoFormatId="16" applyNumberFormats="0" applyBorderFormats="0" applyFontFormats="0" applyPatternFormats="0" applyAlignmentFormats="0" applyWidthHeightFormats="0">
  <queryTableRefresh nextId="6">
    <queryTableFields count="5">
      <queryTableField id="1" name="Participant_ID" tableColumnId="1"/>
      <queryTableField id="2" name="Latency" tableColumnId="2"/>
      <queryTableField id="3" name="Run_Number" tableColumnId="3"/>
      <queryTableField id="4" name="I felt like I was controlling the movement of the robot" tableColumnId="4"/>
      <queryTableField id="5" name="It felt like the robot was part of my body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788DEF-70F2-4E4E-BB4B-A26DDA3595CA}" name="Table6" displayName="Table6" ref="I4:M35" totalsRowShown="0" headerRowDxfId="17" headerRowBorderDxfId="16">
  <autoFilter ref="I4:M35" xr:uid="{A3788DEF-70F2-4E4E-BB4B-A26DDA3595CA}"/>
  <tableColumns count="5">
    <tableColumn id="1" xr3:uid="{F7DFF703-A396-5842-A7EC-1B8971A8CB69}" name="0ms" dataDxfId="15">
      <calculatedColumnFormula>(B5- $G$37)^2</calculatedColumnFormula>
    </tableColumn>
    <tableColumn id="2" xr3:uid="{31BABF1A-3AAA-AB43-A1BF-5B9FC91E377E}" name="100ms" dataDxfId="14">
      <calculatedColumnFormula>(C5- $G$37)^2</calculatedColumnFormula>
    </tableColumn>
    <tableColumn id="3" xr3:uid="{40A98518-3737-9943-B807-B13BBFC8439C}" name="150ms" dataDxfId="13">
      <calculatedColumnFormula>(D5- $G$37)^2</calculatedColumnFormula>
    </tableColumn>
    <tableColumn id="4" xr3:uid="{9E5CC63F-A7E0-3C46-B593-1A3A832DA84A}" name="200ms" dataDxfId="12">
      <calculatedColumnFormula>(E5- $G$37)^2</calculatedColumnFormula>
    </tableColumn>
    <tableColumn id="5" xr3:uid="{E6E5D18F-55EC-3A4A-9F31-1F94FF350019}" name="50ms" dataDxfId="11">
      <calculatedColumnFormula>(F5- $G$37)^2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C13E0-EEB6-3B47-9DEB-C865EDF26DDB}" name="manually_pruned_data" displayName="manually_pruned_data" ref="A1:E156" tableType="queryTable" totalsRowShown="0">
  <autoFilter ref="A1:E156" xr:uid="{F12C13E0-EEB6-3B47-9DEB-C865EDF26DDB}"/>
  <tableColumns count="5">
    <tableColumn id="1" xr3:uid="{230F10B7-7CC6-BF4B-8F09-F0EBFF012325}" uniqueName="1" name="Participant_ID" queryTableFieldId="1"/>
    <tableColumn id="2" xr3:uid="{B801AF03-D08D-6F4A-9E5E-6A78210BD0FA}" uniqueName="2" name="Latency" queryTableFieldId="2" dataDxfId="10"/>
    <tableColumn id="3" xr3:uid="{754FA498-85B5-E547-A17C-8D68C48ED054}" uniqueName="3" name="Run_Number" queryTableFieldId="3"/>
    <tableColumn id="4" xr3:uid="{CE243CF4-5D41-6A4A-A6ED-F693DF2F32ED}" uniqueName="4" name="I felt like I was controlling the movement of the robot" queryTableFieldId="4"/>
    <tableColumn id="5" xr3:uid="{754B7ECA-0F5D-F742-8A00-3AD21DFE41C0}" uniqueName="5" name="It felt like the robot was part of my bod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F871-706A-734F-8C94-08C8AAB43CE9}">
  <dimension ref="A2:M76"/>
  <sheetViews>
    <sheetView topLeftCell="A14" zoomScaleNormal="150" workbookViewId="0">
      <selection activeCell="B53" sqref="B53"/>
    </sheetView>
  </sheetViews>
  <sheetFormatPr baseColWidth="10" defaultRowHeight="16" x14ac:dyDescent="0.2"/>
  <cols>
    <col min="1" max="1" width="13.1640625" customWidth="1"/>
    <col min="2" max="2" width="42.83203125" customWidth="1"/>
    <col min="3" max="4" width="8.33203125" bestFit="1" customWidth="1"/>
    <col min="5" max="5" width="9.33203125" bestFit="1" customWidth="1"/>
    <col min="6" max="6" width="8.33203125" bestFit="1" customWidth="1"/>
    <col min="7" max="7" width="10.5" bestFit="1" customWidth="1"/>
    <col min="8" max="8" width="12.6640625" customWidth="1"/>
    <col min="9" max="9" width="12" customWidth="1"/>
    <col min="10" max="10" width="10.83203125" customWidth="1"/>
    <col min="11" max="12" width="7.83203125" customWidth="1"/>
    <col min="13" max="13" width="7" customWidth="1"/>
    <col min="14" max="17" width="6.83203125" bestFit="1" customWidth="1"/>
    <col min="18" max="18" width="6.5" bestFit="1" customWidth="1"/>
    <col min="19" max="23" width="6.83203125" bestFit="1" customWidth="1"/>
    <col min="24" max="24" width="6.5" bestFit="1" customWidth="1"/>
    <col min="25" max="29" width="6.83203125" bestFit="1" customWidth="1"/>
    <col min="30" max="30" width="6.5" bestFit="1" customWidth="1"/>
    <col min="31" max="35" width="6.83203125" bestFit="1" customWidth="1"/>
    <col min="36" max="36" width="6.5" bestFit="1" customWidth="1"/>
    <col min="37" max="41" width="6.83203125" bestFit="1" customWidth="1"/>
    <col min="42" max="42" width="7.5" bestFit="1" customWidth="1"/>
    <col min="43" max="47" width="6.83203125" bestFit="1" customWidth="1"/>
    <col min="48" max="48" width="7.5" bestFit="1" customWidth="1"/>
    <col min="49" max="53" width="6.83203125" bestFit="1" customWidth="1"/>
    <col min="54" max="54" width="7.5" bestFit="1" customWidth="1"/>
    <col min="55" max="59" width="6.83203125" bestFit="1" customWidth="1"/>
    <col min="60" max="60" width="7.5" bestFit="1" customWidth="1"/>
    <col min="61" max="65" width="6.83203125" bestFit="1" customWidth="1"/>
    <col min="66" max="66" width="7.5" bestFit="1" customWidth="1"/>
    <col min="67" max="71" width="6.83203125" bestFit="1" customWidth="1"/>
    <col min="72" max="72" width="7.5" bestFit="1" customWidth="1"/>
    <col min="73" max="77" width="6.83203125" bestFit="1" customWidth="1"/>
    <col min="78" max="78" width="7.5" bestFit="1" customWidth="1"/>
    <col min="79" max="83" width="6.83203125" bestFit="1" customWidth="1"/>
    <col min="84" max="84" width="7.5" bestFit="1" customWidth="1"/>
    <col min="85" max="89" width="6.83203125" bestFit="1" customWidth="1"/>
    <col min="90" max="90" width="7.5" bestFit="1" customWidth="1"/>
    <col min="91" max="95" width="6.83203125" bestFit="1" customWidth="1"/>
    <col min="96" max="96" width="7.5" bestFit="1" customWidth="1"/>
    <col min="97" max="101" width="6.83203125" bestFit="1" customWidth="1"/>
    <col min="102" max="102" width="7.5" bestFit="1" customWidth="1"/>
    <col min="103" max="107" width="6.83203125" bestFit="1" customWidth="1"/>
    <col min="108" max="108" width="7.5" bestFit="1" customWidth="1"/>
    <col min="109" max="113" width="6.83203125" bestFit="1" customWidth="1"/>
    <col min="114" max="114" width="7.5" bestFit="1" customWidth="1"/>
    <col min="115" max="119" width="6.83203125" bestFit="1" customWidth="1"/>
    <col min="120" max="120" width="7.5" bestFit="1" customWidth="1"/>
    <col min="121" max="125" width="6.83203125" bestFit="1" customWidth="1"/>
    <col min="126" max="126" width="7.5" bestFit="1" customWidth="1"/>
    <col min="127" max="131" width="6.83203125" bestFit="1" customWidth="1"/>
    <col min="132" max="132" width="7.5" bestFit="1" customWidth="1"/>
    <col min="133" max="137" width="6.83203125" bestFit="1" customWidth="1"/>
    <col min="138" max="138" width="7.5" bestFit="1" customWidth="1"/>
    <col min="139" max="143" width="6.83203125" bestFit="1" customWidth="1"/>
    <col min="144" max="144" width="7.5" bestFit="1" customWidth="1"/>
    <col min="145" max="149" width="6.83203125" bestFit="1" customWidth="1"/>
    <col min="150" max="150" width="7.5" bestFit="1" customWidth="1"/>
    <col min="151" max="155" width="6.83203125" bestFit="1" customWidth="1"/>
    <col min="156" max="156" width="7.5" bestFit="1" customWidth="1"/>
    <col min="157" max="161" width="6.83203125" bestFit="1" customWidth="1"/>
    <col min="162" max="162" width="7.5" bestFit="1" customWidth="1"/>
    <col min="163" max="167" width="6.83203125" bestFit="1" customWidth="1"/>
    <col min="168" max="168" width="7.5" bestFit="1" customWidth="1"/>
    <col min="169" max="173" width="6.83203125" bestFit="1" customWidth="1"/>
    <col min="174" max="174" width="7.5" bestFit="1" customWidth="1"/>
    <col min="175" max="179" width="6.83203125" bestFit="1" customWidth="1"/>
    <col min="180" max="180" width="7.5" bestFit="1" customWidth="1"/>
    <col min="181" max="185" width="6.83203125" bestFit="1" customWidth="1"/>
    <col min="186" max="186" width="7.5" bestFit="1" customWidth="1"/>
    <col min="187" max="187" width="10.5" bestFit="1" customWidth="1"/>
  </cols>
  <sheetData>
    <row r="2" spans="1:13" x14ac:dyDescent="0.2">
      <c r="A2" s="20" t="s">
        <v>14</v>
      </c>
      <c r="B2" s="20"/>
      <c r="C2" s="20"/>
      <c r="D2" s="20"/>
      <c r="E2" s="20"/>
      <c r="F2" s="20"/>
      <c r="G2" s="20"/>
    </row>
    <row r="3" spans="1:13" x14ac:dyDescent="0.2">
      <c r="A3" s="1" t="s">
        <v>12</v>
      </c>
      <c r="B3" s="1" t="s">
        <v>11</v>
      </c>
      <c r="I3" s="21" t="s">
        <v>20</v>
      </c>
      <c r="J3" s="21"/>
      <c r="K3" s="21"/>
      <c r="L3" s="21"/>
      <c r="M3" s="21"/>
    </row>
    <row r="4" spans="1:13" x14ac:dyDescent="0.2">
      <c r="A4" s="1" t="s">
        <v>34</v>
      </c>
      <c r="B4" t="s">
        <v>5</v>
      </c>
      <c r="C4" t="s">
        <v>7</v>
      </c>
      <c r="D4" t="s">
        <v>8</v>
      </c>
      <c r="E4" t="s">
        <v>9</v>
      </c>
      <c r="F4" t="s">
        <v>6</v>
      </c>
      <c r="G4" t="s">
        <v>10</v>
      </c>
      <c r="H4" s="15" t="s">
        <v>23</v>
      </c>
      <c r="I4" s="6" t="s">
        <v>5</v>
      </c>
      <c r="J4" s="6" t="s">
        <v>7</v>
      </c>
      <c r="K4" s="6" t="s">
        <v>8</v>
      </c>
      <c r="L4" s="6" t="s">
        <v>9</v>
      </c>
      <c r="M4" s="6" t="s">
        <v>6</v>
      </c>
    </row>
    <row r="5" spans="1:13" x14ac:dyDescent="0.2">
      <c r="A5" s="11">
        <v>1</v>
      </c>
      <c r="B5" s="12">
        <v>4</v>
      </c>
      <c r="C5" s="12">
        <v>4</v>
      </c>
      <c r="D5" s="12">
        <v>4</v>
      </c>
      <c r="E5" s="12">
        <v>3</v>
      </c>
      <c r="F5" s="12">
        <v>4</v>
      </c>
      <c r="G5" s="12">
        <v>19</v>
      </c>
      <c r="H5">
        <f>AVERAGE(B5:F5)</f>
        <v>3.8</v>
      </c>
      <c r="I5" s="9">
        <f t="shared" ref="I5:I35" si="0">(B5- $G$37)^2</f>
        <v>9.3652445369406707E-3</v>
      </c>
      <c r="J5" s="9">
        <f t="shared" ref="J5:J35" si="1">(C5- $G$37)^2</f>
        <v>9.3652445369406707E-3</v>
      </c>
      <c r="K5" s="9">
        <f t="shared" ref="K5:K35" si="2">(D5- $G$37)^2</f>
        <v>9.3652445369406707E-3</v>
      </c>
      <c r="L5" s="9">
        <f t="shared" ref="L5:L35" si="3">(E5- $G$37)^2</f>
        <v>1.2029136316337148</v>
      </c>
      <c r="M5" s="9">
        <f t="shared" ref="M5:M35" si="4">(F5- $G$37)^2</f>
        <v>9.3652445369406707E-3</v>
      </c>
    </row>
    <row r="6" spans="1:13" x14ac:dyDescent="0.2">
      <c r="A6" s="11">
        <v>5</v>
      </c>
      <c r="B6" s="12">
        <v>5</v>
      </c>
      <c r="C6" s="12">
        <v>5</v>
      </c>
      <c r="D6" s="12">
        <v>5</v>
      </c>
      <c r="E6" s="12">
        <v>5</v>
      </c>
      <c r="F6" s="12">
        <v>5</v>
      </c>
      <c r="G6" s="12">
        <v>25</v>
      </c>
      <c r="H6">
        <f t="shared" ref="H6:H35" si="5">AVERAGE(B6:F6)</f>
        <v>5</v>
      </c>
      <c r="I6" s="9">
        <f t="shared" si="0"/>
        <v>0.81581685744016663</v>
      </c>
      <c r="J6" s="9">
        <f t="shared" si="1"/>
        <v>0.81581685744016663</v>
      </c>
      <c r="K6" s="9">
        <f t="shared" si="2"/>
        <v>0.81581685744016663</v>
      </c>
      <c r="L6" s="9">
        <f t="shared" si="3"/>
        <v>0.81581685744016663</v>
      </c>
      <c r="M6" s="9">
        <f t="shared" si="4"/>
        <v>0.81581685744016663</v>
      </c>
    </row>
    <row r="7" spans="1:13" x14ac:dyDescent="0.2">
      <c r="A7" s="11">
        <v>6</v>
      </c>
      <c r="B7" s="12">
        <v>3</v>
      </c>
      <c r="C7" s="12">
        <v>3</v>
      </c>
      <c r="D7" s="12">
        <v>2</v>
      </c>
      <c r="E7" s="12">
        <v>3</v>
      </c>
      <c r="F7" s="12">
        <v>3</v>
      </c>
      <c r="G7" s="12">
        <v>14</v>
      </c>
      <c r="H7">
        <f t="shared" si="5"/>
        <v>2.8</v>
      </c>
      <c r="I7" s="9">
        <f t="shared" si="0"/>
        <v>1.2029136316337148</v>
      </c>
      <c r="J7" s="9">
        <f t="shared" si="1"/>
        <v>1.2029136316337148</v>
      </c>
      <c r="K7" s="9">
        <f t="shared" si="2"/>
        <v>4.3964620187304888</v>
      </c>
      <c r="L7" s="9">
        <f t="shared" si="3"/>
        <v>1.2029136316337148</v>
      </c>
      <c r="M7" s="9">
        <f t="shared" si="4"/>
        <v>1.2029136316337148</v>
      </c>
    </row>
    <row r="8" spans="1:13" x14ac:dyDescent="0.2">
      <c r="A8" s="11">
        <v>7</v>
      </c>
      <c r="B8" s="12">
        <v>4</v>
      </c>
      <c r="C8" s="12">
        <v>4</v>
      </c>
      <c r="D8" s="12">
        <v>4</v>
      </c>
      <c r="E8" s="12">
        <v>3</v>
      </c>
      <c r="F8" s="12">
        <v>3</v>
      </c>
      <c r="G8" s="12">
        <v>18</v>
      </c>
      <c r="H8">
        <f t="shared" si="5"/>
        <v>3.6</v>
      </c>
      <c r="I8" s="9">
        <f t="shared" si="0"/>
        <v>9.3652445369406707E-3</v>
      </c>
      <c r="J8" s="9">
        <f t="shared" si="1"/>
        <v>9.3652445369406707E-3</v>
      </c>
      <c r="K8" s="9">
        <f t="shared" si="2"/>
        <v>9.3652445369406707E-3</v>
      </c>
      <c r="L8" s="9">
        <f t="shared" si="3"/>
        <v>1.2029136316337148</v>
      </c>
      <c r="M8" s="9">
        <f t="shared" si="4"/>
        <v>1.2029136316337148</v>
      </c>
    </row>
    <row r="9" spans="1:13" x14ac:dyDescent="0.2">
      <c r="A9" s="11">
        <v>8</v>
      </c>
      <c r="B9" s="12">
        <v>4</v>
      </c>
      <c r="C9" s="12">
        <v>3</v>
      </c>
      <c r="D9" s="12">
        <v>4</v>
      </c>
      <c r="E9" s="12">
        <v>2</v>
      </c>
      <c r="F9" s="12">
        <v>5</v>
      </c>
      <c r="G9" s="12">
        <v>18</v>
      </c>
      <c r="H9">
        <f t="shared" si="5"/>
        <v>3.6</v>
      </c>
      <c r="I9" s="9">
        <f t="shared" si="0"/>
        <v>9.3652445369406707E-3</v>
      </c>
      <c r="J9" s="9">
        <f t="shared" si="1"/>
        <v>1.2029136316337148</v>
      </c>
      <c r="K9" s="9">
        <f t="shared" si="2"/>
        <v>9.3652445369406707E-3</v>
      </c>
      <c r="L9" s="9">
        <f t="shared" si="3"/>
        <v>4.3964620187304888</v>
      </c>
      <c r="M9" s="9">
        <f t="shared" si="4"/>
        <v>0.81581685744016663</v>
      </c>
    </row>
    <row r="10" spans="1:13" x14ac:dyDescent="0.2">
      <c r="A10" s="11">
        <v>9</v>
      </c>
      <c r="B10" s="12">
        <v>5</v>
      </c>
      <c r="C10" s="12">
        <v>4</v>
      </c>
      <c r="D10" s="12">
        <v>4</v>
      </c>
      <c r="E10" s="12">
        <v>4</v>
      </c>
      <c r="F10" s="12">
        <v>5</v>
      </c>
      <c r="G10" s="12">
        <v>22</v>
      </c>
      <c r="H10">
        <f t="shared" si="5"/>
        <v>4.4000000000000004</v>
      </c>
      <c r="I10" s="9">
        <f t="shared" si="0"/>
        <v>0.81581685744016663</v>
      </c>
      <c r="J10" s="9">
        <f t="shared" si="1"/>
        <v>9.3652445369406707E-3</v>
      </c>
      <c r="K10" s="9">
        <f t="shared" si="2"/>
        <v>9.3652445369406707E-3</v>
      </c>
      <c r="L10" s="9">
        <f t="shared" si="3"/>
        <v>9.3652445369406707E-3</v>
      </c>
      <c r="M10" s="9">
        <f t="shared" si="4"/>
        <v>0.81581685744016663</v>
      </c>
    </row>
    <row r="11" spans="1:13" x14ac:dyDescent="0.2">
      <c r="A11" s="11">
        <v>10</v>
      </c>
      <c r="B11" s="12">
        <v>2</v>
      </c>
      <c r="C11" s="12">
        <v>4</v>
      </c>
      <c r="D11" s="12">
        <v>2</v>
      </c>
      <c r="E11" s="12">
        <v>3</v>
      </c>
      <c r="F11" s="12">
        <v>5</v>
      </c>
      <c r="G11" s="12">
        <v>16</v>
      </c>
      <c r="H11">
        <f t="shared" si="5"/>
        <v>3.2</v>
      </c>
      <c r="I11" s="9">
        <f t="shared" si="0"/>
        <v>4.3964620187304888</v>
      </c>
      <c r="J11" s="9">
        <f t="shared" si="1"/>
        <v>9.3652445369406707E-3</v>
      </c>
      <c r="K11" s="9">
        <f t="shared" si="2"/>
        <v>4.3964620187304888</v>
      </c>
      <c r="L11" s="9">
        <f t="shared" si="3"/>
        <v>1.2029136316337148</v>
      </c>
      <c r="M11" s="9">
        <f t="shared" si="4"/>
        <v>0.81581685744016663</v>
      </c>
    </row>
    <row r="12" spans="1:13" x14ac:dyDescent="0.2">
      <c r="A12" s="11">
        <v>12</v>
      </c>
      <c r="B12" s="12">
        <v>4</v>
      </c>
      <c r="C12" s="12">
        <v>5</v>
      </c>
      <c r="D12" s="12">
        <v>3</v>
      </c>
      <c r="E12" s="12">
        <v>2</v>
      </c>
      <c r="F12" s="12">
        <v>3</v>
      </c>
      <c r="G12" s="12">
        <v>17</v>
      </c>
      <c r="H12">
        <f t="shared" si="5"/>
        <v>3.4</v>
      </c>
      <c r="I12" s="9">
        <f t="shared" si="0"/>
        <v>9.3652445369406707E-3</v>
      </c>
      <c r="J12" s="9">
        <f t="shared" si="1"/>
        <v>0.81581685744016663</v>
      </c>
      <c r="K12" s="9">
        <f t="shared" si="2"/>
        <v>1.2029136316337148</v>
      </c>
      <c r="L12" s="9">
        <f t="shared" si="3"/>
        <v>4.3964620187304888</v>
      </c>
      <c r="M12" s="9">
        <f t="shared" si="4"/>
        <v>1.2029136316337148</v>
      </c>
    </row>
    <row r="13" spans="1:13" x14ac:dyDescent="0.2">
      <c r="A13" s="11">
        <v>13</v>
      </c>
      <c r="B13" s="12">
        <v>3</v>
      </c>
      <c r="C13" s="12">
        <v>4</v>
      </c>
      <c r="D13" s="12">
        <v>3</v>
      </c>
      <c r="E13" s="12">
        <v>3</v>
      </c>
      <c r="F13" s="12">
        <v>3</v>
      </c>
      <c r="G13" s="12">
        <v>16</v>
      </c>
      <c r="H13">
        <f t="shared" si="5"/>
        <v>3.2</v>
      </c>
      <c r="I13" s="9">
        <f t="shared" si="0"/>
        <v>1.2029136316337148</v>
      </c>
      <c r="J13" s="9">
        <f t="shared" si="1"/>
        <v>9.3652445369406707E-3</v>
      </c>
      <c r="K13" s="9">
        <f t="shared" si="2"/>
        <v>1.2029136316337148</v>
      </c>
      <c r="L13" s="9">
        <f t="shared" si="3"/>
        <v>1.2029136316337148</v>
      </c>
      <c r="M13" s="9">
        <f t="shared" si="4"/>
        <v>1.2029136316337148</v>
      </c>
    </row>
    <row r="14" spans="1:13" x14ac:dyDescent="0.2">
      <c r="A14" s="11">
        <v>14</v>
      </c>
      <c r="B14" s="12">
        <v>4</v>
      </c>
      <c r="C14" s="12">
        <v>5</v>
      </c>
      <c r="D14" s="12">
        <v>4</v>
      </c>
      <c r="E14" s="12">
        <v>5</v>
      </c>
      <c r="F14" s="12">
        <v>5</v>
      </c>
      <c r="G14" s="12">
        <v>23</v>
      </c>
      <c r="H14">
        <f t="shared" si="5"/>
        <v>4.5999999999999996</v>
      </c>
      <c r="I14" s="9">
        <f t="shared" si="0"/>
        <v>9.3652445369406707E-3</v>
      </c>
      <c r="J14" s="9">
        <f t="shared" si="1"/>
        <v>0.81581685744016663</v>
      </c>
      <c r="K14" s="9">
        <f t="shared" si="2"/>
        <v>9.3652445369406707E-3</v>
      </c>
      <c r="L14" s="9">
        <f t="shared" si="3"/>
        <v>0.81581685744016663</v>
      </c>
      <c r="M14" s="9">
        <f t="shared" si="4"/>
        <v>0.81581685744016663</v>
      </c>
    </row>
    <row r="15" spans="1:13" x14ac:dyDescent="0.2">
      <c r="A15" s="11">
        <v>15</v>
      </c>
      <c r="B15" s="12">
        <v>5</v>
      </c>
      <c r="C15" s="12">
        <v>5</v>
      </c>
      <c r="D15" s="12">
        <v>5</v>
      </c>
      <c r="E15" s="12">
        <v>5</v>
      </c>
      <c r="F15" s="12">
        <v>5</v>
      </c>
      <c r="G15" s="12">
        <v>25</v>
      </c>
      <c r="H15">
        <f t="shared" si="5"/>
        <v>5</v>
      </c>
      <c r="I15" s="9">
        <f t="shared" si="0"/>
        <v>0.81581685744016663</v>
      </c>
      <c r="J15" s="9">
        <f t="shared" si="1"/>
        <v>0.81581685744016663</v>
      </c>
      <c r="K15" s="9">
        <f t="shared" si="2"/>
        <v>0.81581685744016663</v>
      </c>
      <c r="L15" s="9">
        <f t="shared" si="3"/>
        <v>0.81581685744016663</v>
      </c>
      <c r="M15" s="9">
        <f t="shared" si="4"/>
        <v>0.81581685744016663</v>
      </c>
    </row>
    <row r="16" spans="1:13" x14ac:dyDescent="0.2">
      <c r="A16" s="11">
        <v>16</v>
      </c>
      <c r="B16" s="12">
        <v>5</v>
      </c>
      <c r="C16" s="12">
        <v>5</v>
      </c>
      <c r="D16" s="12">
        <v>5</v>
      </c>
      <c r="E16" s="12">
        <v>5</v>
      </c>
      <c r="F16" s="12">
        <v>5</v>
      </c>
      <c r="G16" s="12">
        <v>25</v>
      </c>
      <c r="H16">
        <f t="shared" si="5"/>
        <v>5</v>
      </c>
      <c r="I16" s="9">
        <f t="shared" si="0"/>
        <v>0.81581685744016663</v>
      </c>
      <c r="J16" s="9">
        <f t="shared" si="1"/>
        <v>0.81581685744016663</v>
      </c>
      <c r="K16" s="9">
        <f t="shared" si="2"/>
        <v>0.81581685744016663</v>
      </c>
      <c r="L16" s="9">
        <f t="shared" si="3"/>
        <v>0.81581685744016663</v>
      </c>
      <c r="M16" s="9">
        <f t="shared" si="4"/>
        <v>0.81581685744016663</v>
      </c>
    </row>
    <row r="17" spans="1:13" x14ac:dyDescent="0.2">
      <c r="A17" s="11">
        <v>17</v>
      </c>
      <c r="B17" s="12">
        <v>5</v>
      </c>
      <c r="C17" s="12">
        <v>5</v>
      </c>
      <c r="D17" s="12">
        <v>5</v>
      </c>
      <c r="E17" s="12">
        <v>4</v>
      </c>
      <c r="F17" s="12">
        <v>5</v>
      </c>
      <c r="G17" s="12">
        <v>24</v>
      </c>
      <c r="H17">
        <f t="shared" si="5"/>
        <v>4.8</v>
      </c>
      <c r="I17" s="9">
        <f t="shared" si="0"/>
        <v>0.81581685744016663</v>
      </c>
      <c r="J17" s="9">
        <f t="shared" si="1"/>
        <v>0.81581685744016663</v>
      </c>
      <c r="K17" s="9">
        <f t="shared" si="2"/>
        <v>0.81581685744016663</v>
      </c>
      <c r="L17" s="9">
        <f t="shared" si="3"/>
        <v>9.3652445369406707E-3</v>
      </c>
      <c r="M17" s="9">
        <f t="shared" si="4"/>
        <v>0.81581685744016663</v>
      </c>
    </row>
    <row r="18" spans="1:13" x14ac:dyDescent="0.2">
      <c r="A18" s="11">
        <v>18</v>
      </c>
      <c r="B18" s="12">
        <v>5</v>
      </c>
      <c r="C18" s="12">
        <v>4</v>
      </c>
      <c r="D18" s="12">
        <v>5</v>
      </c>
      <c r="E18" s="12">
        <v>5</v>
      </c>
      <c r="F18" s="12">
        <v>5</v>
      </c>
      <c r="G18" s="12">
        <v>24</v>
      </c>
      <c r="H18">
        <f t="shared" si="5"/>
        <v>4.8</v>
      </c>
      <c r="I18" s="9">
        <f t="shared" si="0"/>
        <v>0.81581685744016663</v>
      </c>
      <c r="J18" s="9">
        <f t="shared" si="1"/>
        <v>9.3652445369406707E-3</v>
      </c>
      <c r="K18" s="9">
        <f t="shared" si="2"/>
        <v>0.81581685744016663</v>
      </c>
      <c r="L18" s="9">
        <f t="shared" si="3"/>
        <v>0.81581685744016663</v>
      </c>
      <c r="M18" s="9">
        <f t="shared" si="4"/>
        <v>0.81581685744016663</v>
      </c>
    </row>
    <row r="19" spans="1:13" x14ac:dyDescent="0.2">
      <c r="A19" s="11">
        <v>19</v>
      </c>
      <c r="B19" s="12">
        <v>4</v>
      </c>
      <c r="C19" s="12">
        <v>4</v>
      </c>
      <c r="D19" s="12">
        <v>5</v>
      </c>
      <c r="E19" s="12">
        <v>3</v>
      </c>
      <c r="F19" s="12">
        <v>4</v>
      </c>
      <c r="G19" s="12">
        <v>20</v>
      </c>
      <c r="H19">
        <f t="shared" si="5"/>
        <v>4</v>
      </c>
      <c r="I19" s="9">
        <f t="shared" si="0"/>
        <v>9.3652445369406707E-3</v>
      </c>
      <c r="J19" s="9">
        <f t="shared" si="1"/>
        <v>9.3652445369406707E-3</v>
      </c>
      <c r="K19" s="9">
        <f t="shared" si="2"/>
        <v>0.81581685744016663</v>
      </c>
      <c r="L19" s="9">
        <f t="shared" si="3"/>
        <v>1.2029136316337148</v>
      </c>
      <c r="M19" s="9">
        <f t="shared" si="4"/>
        <v>9.3652445369406707E-3</v>
      </c>
    </row>
    <row r="20" spans="1:13" x14ac:dyDescent="0.2">
      <c r="A20" s="11">
        <v>20</v>
      </c>
      <c r="B20" s="12">
        <v>4</v>
      </c>
      <c r="C20" s="12">
        <v>4</v>
      </c>
      <c r="D20" s="12">
        <v>4</v>
      </c>
      <c r="E20" s="12">
        <v>4</v>
      </c>
      <c r="F20" s="12">
        <v>5</v>
      </c>
      <c r="G20" s="12">
        <v>21</v>
      </c>
      <c r="H20">
        <f t="shared" si="5"/>
        <v>4.2</v>
      </c>
      <c r="I20" s="9">
        <f t="shared" si="0"/>
        <v>9.3652445369406707E-3</v>
      </c>
      <c r="J20" s="9">
        <f t="shared" si="1"/>
        <v>9.3652445369406707E-3</v>
      </c>
      <c r="K20" s="9">
        <f t="shared" si="2"/>
        <v>9.3652445369406707E-3</v>
      </c>
      <c r="L20" s="9">
        <f t="shared" si="3"/>
        <v>9.3652445369406707E-3</v>
      </c>
      <c r="M20" s="9">
        <f t="shared" si="4"/>
        <v>0.81581685744016663</v>
      </c>
    </row>
    <row r="21" spans="1:13" x14ac:dyDescent="0.2">
      <c r="A21" s="11">
        <v>21</v>
      </c>
      <c r="B21" s="12">
        <v>5</v>
      </c>
      <c r="C21" s="12">
        <v>3</v>
      </c>
      <c r="D21" s="12">
        <v>3</v>
      </c>
      <c r="E21" s="12">
        <v>5</v>
      </c>
      <c r="F21" s="12">
        <v>5</v>
      </c>
      <c r="G21" s="12">
        <v>21</v>
      </c>
      <c r="H21">
        <f t="shared" si="5"/>
        <v>4.2</v>
      </c>
      <c r="I21" s="9">
        <f t="shared" si="0"/>
        <v>0.81581685744016663</v>
      </c>
      <c r="J21" s="9">
        <f t="shared" si="1"/>
        <v>1.2029136316337148</v>
      </c>
      <c r="K21" s="9">
        <f t="shared" si="2"/>
        <v>1.2029136316337148</v>
      </c>
      <c r="L21" s="9">
        <f t="shared" si="3"/>
        <v>0.81581685744016663</v>
      </c>
      <c r="M21" s="9">
        <f t="shared" si="4"/>
        <v>0.81581685744016663</v>
      </c>
    </row>
    <row r="22" spans="1:13" x14ac:dyDescent="0.2">
      <c r="A22" s="11">
        <v>22</v>
      </c>
      <c r="B22" s="12">
        <v>5</v>
      </c>
      <c r="C22" s="12">
        <v>5</v>
      </c>
      <c r="D22" s="12">
        <v>5</v>
      </c>
      <c r="E22" s="12">
        <v>4</v>
      </c>
      <c r="F22" s="12">
        <v>5</v>
      </c>
      <c r="G22" s="12">
        <v>24</v>
      </c>
      <c r="H22">
        <f t="shared" si="5"/>
        <v>4.8</v>
      </c>
      <c r="I22" s="9">
        <f t="shared" si="0"/>
        <v>0.81581685744016663</v>
      </c>
      <c r="J22" s="9">
        <f t="shared" si="1"/>
        <v>0.81581685744016663</v>
      </c>
      <c r="K22" s="9">
        <f t="shared" si="2"/>
        <v>0.81581685744016663</v>
      </c>
      <c r="L22" s="9">
        <f t="shared" si="3"/>
        <v>9.3652445369406707E-3</v>
      </c>
      <c r="M22" s="9">
        <f t="shared" si="4"/>
        <v>0.81581685744016663</v>
      </c>
    </row>
    <row r="23" spans="1:13" x14ac:dyDescent="0.2">
      <c r="A23" s="11">
        <v>24</v>
      </c>
      <c r="B23" s="12">
        <v>5</v>
      </c>
      <c r="C23" s="12">
        <v>5</v>
      </c>
      <c r="D23" s="12">
        <v>4</v>
      </c>
      <c r="E23" s="12">
        <v>5</v>
      </c>
      <c r="F23" s="12">
        <v>5</v>
      </c>
      <c r="G23" s="12">
        <v>24</v>
      </c>
      <c r="H23">
        <f t="shared" si="5"/>
        <v>4.8</v>
      </c>
      <c r="I23" s="9">
        <f t="shared" si="0"/>
        <v>0.81581685744016663</v>
      </c>
      <c r="J23" s="9">
        <f t="shared" si="1"/>
        <v>0.81581685744016663</v>
      </c>
      <c r="K23" s="9">
        <f t="shared" si="2"/>
        <v>9.3652445369406707E-3</v>
      </c>
      <c r="L23" s="9">
        <f t="shared" si="3"/>
        <v>0.81581685744016663</v>
      </c>
      <c r="M23" s="9">
        <f t="shared" si="4"/>
        <v>0.81581685744016663</v>
      </c>
    </row>
    <row r="24" spans="1:13" x14ac:dyDescent="0.2">
      <c r="A24" s="11">
        <v>25</v>
      </c>
      <c r="B24" s="12">
        <v>4</v>
      </c>
      <c r="C24" s="12">
        <v>3</v>
      </c>
      <c r="D24" s="12">
        <v>3</v>
      </c>
      <c r="E24" s="12">
        <v>3</v>
      </c>
      <c r="F24" s="12">
        <v>4</v>
      </c>
      <c r="G24" s="12">
        <v>17</v>
      </c>
      <c r="H24">
        <f t="shared" si="5"/>
        <v>3.4</v>
      </c>
      <c r="I24" s="9">
        <f t="shared" si="0"/>
        <v>9.3652445369406707E-3</v>
      </c>
      <c r="J24" s="9">
        <f t="shared" si="1"/>
        <v>1.2029136316337148</v>
      </c>
      <c r="K24" s="9">
        <f t="shared" si="2"/>
        <v>1.2029136316337148</v>
      </c>
      <c r="L24" s="9">
        <f t="shared" si="3"/>
        <v>1.2029136316337148</v>
      </c>
      <c r="M24" s="9">
        <f t="shared" si="4"/>
        <v>9.3652445369406707E-3</v>
      </c>
    </row>
    <row r="25" spans="1:13" x14ac:dyDescent="0.2">
      <c r="A25" s="11">
        <v>26</v>
      </c>
      <c r="B25" s="12">
        <v>3</v>
      </c>
      <c r="C25" s="12">
        <v>4</v>
      </c>
      <c r="D25" s="12">
        <v>4</v>
      </c>
      <c r="E25" s="12">
        <v>3</v>
      </c>
      <c r="F25" s="12">
        <v>3</v>
      </c>
      <c r="G25" s="12">
        <v>17</v>
      </c>
      <c r="H25">
        <f t="shared" si="5"/>
        <v>3.4</v>
      </c>
      <c r="I25" s="9">
        <f t="shared" si="0"/>
        <v>1.2029136316337148</v>
      </c>
      <c r="J25" s="9">
        <f t="shared" si="1"/>
        <v>9.3652445369406707E-3</v>
      </c>
      <c r="K25" s="9">
        <f t="shared" si="2"/>
        <v>9.3652445369406707E-3</v>
      </c>
      <c r="L25" s="9">
        <f t="shared" si="3"/>
        <v>1.2029136316337148</v>
      </c>
      <c r="M25" s="9">
        <f t="shared" si="4"/>
        <v>1.2029136316337148</v>
      </c>
    </row>
    <row r="26" spans="1:13" x14ac:dyDescent="0.2">
      <c r="A26" s="11">
        <v>27</v>
      </c>
      <c r="B26" s="12">
        <v>5</v>
      </c>
      <c r="C26" s="12">
        <v>4</v>
      </c>
      <c r="D26" s="12">
        <v>5</v>
      </c>
      <c r="E26" s="12">
        <v>2</v>
      </c>
      <c r="F26" s="12">
        <v>4</v>
      </c>
      <c r="G26" s="12">
        <v>20</v>
      </c>
      <c r="H26">
        <f t="shared" si="5"/>
        <v>4</v>
      </c>
      <c r="I26" s="9">
        <f t="shared" si="0"/>
        <v>0.81581685744016663</v>
      </c>
      <c r="J26" s="9">
        <f t="shared" si="1"/>
        <v>9.3652445369406707E-3</v>
      </c>
      <c r="K26" s="9">
        <f t="shared" si="2"/>
        <v>0.81581685744016663</v>
      </c>
      <c r="L26" s="9">
        <f t="shared" si="3"/>
        <v>4.3964620187304888</v>
      </c>
      <c r="M26" s="9">
        <f t="shared" si="4"/>
        <v>9.3652445369406707E-3</v>
      </c>
    </row>
    <row r="27" spans="1:13" x14ac:dyDescent="0.2">
      <c r="A27" s="11">
        <v>28</v>
      </c>
      <c r="B27" s="12">
        <v>4</v>
      </c>
      <c r="C27" s="12">
        <v>4</v>
      </c>
      <c r="D27" s="12">
        <v>5</v>
      </c>
      <c r="E27" s="12">
        <v>3</v>
      </c>
      <c r="F27" s="12">
        <v>4</v>
      </c>
      <c r="G27" s="12">
        <v>20</v>
      </c>
      <c r="H27">
        <f t="shared" si="5"/>
        <v>4</v>
      </c>
      <c r="I27" s="9">
        <f t="shared" si="0"/>
        <v>9.3652445369406707E-3</v>
      </c>
      <c r="J27" s="9">
        <f t="shared" si="1"/>
        <v>9.3652445369406707E-3</v>
      </c>
      <c r="K27" s="9">
        <f t="shared" si="2"/>
        <v>0.81581685744016663</v>
      </c>
      <c r="L27" s="9">
        <f t="shared" si="3"/>
        <v>1.2029136316337148</v>
      </c>
      <c r="M27" s="9">
        <f t="shared" si="4"/>
        <v>9.3652445369406707E-3</v>
      </c>
    </row>
    <row r="28" spans="1:13" x14ac:dyDescent="0.2">
      <c r="A28" s="11">
        <v>29</v>
      </c>
      <c r="B28" s="12">
        <v>5</v>
      </c>
      <c r="C28" s="12">
        <v>4</v>
      </c>
      <c r="D28" s="12">
        <v>4</v>
      </c>
      <c r="E28" s="12">
        <v>4</v>
      </c>
      <c r="F28" s="12">
        <v>5</v>
      </c>
      <c r="G28" s="12">
        <v>22</v>
      </c>
      <c r="H28">
        <f t="shared" si="5"/>
        <v>4.4000000000000004</v>
      </c>
      <c r="I28" s="9">
        <f t="shared" si="0"/>
        <v>0.81581685744016663</v>
      </c>
      <c r="J28" s="9">
        <f t="shared" si="1"/>
        <v>9.3652445369406707E-3</v>
      </c>
      <c r="K28" s="9">
        <f t="shared" si="2"/>
        <v>9.3652445369406707E-3</v>
      </c>
      <c r="L28" s="9">
        <f t="shared" si="3"/>
        <v>9.3652445369406707E-3</v>
      </c>
      <c r="M28" s="9">
        <f t="shared" si="4"/>
        <v>0.81581685744016663</v>
      </c>
    </row>
    <row r="29" spans="1:13" x14ac:dyDescent="0.2">
      <c r="A29" s="11">
        <v>30</v>
      </c>
      <c r="B29" s="12">
        <v>4</v>
      </c>
      <c r="C29" s="12">
        <v>3</v>
      </c>
      <c r="D29" s="12">
        <v>4</v>
      </c>
      <c r="E29" s="12">
        <v>3</v>
      </c>
      <c r="F29" s="12">
        <v>3</v>
      </c>
      <c r="G29" s="12">
        <v>17</v>
      </c>
      <c r="H29">
        <f t="shared" si="5"/>
        <v>3.4</v>
      </c>
      <c r="I29" s="9">
        <f t="shared" si="0"/>
        <v>9.3652445369406707E-3</v>
      </c>
      <c r="J29" s="9">
        <f t="shared" si="1"/>
        <v>1.2029136316337148</v>
      </c>
      <c r="K29" s="9">
        <f t="shared" si="2"/>
        <v>9.3652445369406707E-3</v>
      </c>
      <c r="L29" s="9">
        <f t="shared" si="3"/>
        <v>1.2029136316337148</v>
      </c>
      <c r="M29" s="9">
        <f t="shared" si="4"/>
        <v>1.2029136316337148</v>
      </c>
    </row>
    <row r="30" spans="1:13" x14ac:dyDescent="0.2">
      <c r="A30" s="11">
        <v>31</v>
      </c>
      <c r="B30" s="12">
        <v>4</v>
      </c>
      <c r="C30" s="12">
        <v>4</v>
      </c>
      <c r="D30" s="12">
        <v>4</v>
      </c>
      <c r="E30" s="12">
        <v>4</v>
      </c>
      <c r="F30" s="12">
        <v>2</v>
      </c>
      <c r="G30" s="12">
        <v>18</v>
      </c>
      <c r="H30">
        <f t="shared" si="5"/>
        <v>3.6</v>
      </c>
      <c r="I30" s="9">
        <f t="shared" si="0"/>
        <v>9.3652445369406707E-3</v>
      </c>
      <c r="J30" s="9">
        <f t="shared" si="1"/>
        <v>9.3652445369406707E-3</v>
      </c>
      <c r="K30" s="9">
        <f t="shared" si="2"/>
        <v>9.3652445369406707E-3</v>
      </c>
      <c r="L30" s="9">
        <f t="shared" si="3"/>
        <v>9.3652445369406707E-3</v>
      </c>
      <c r="M30" s="9">
        <f t="shared" si="4"/>
        <v>4.3964620187304888</v>
      </c>
    </row>
    <row r="31" spans="1:13" x14ac:dyDescent="0.2">
      <c r="A31" s="11">
        <v>34</v>
      </c>
      <c r="B31" s="12">
        <v>4</v>
      </c>
      <c r="C31" s="12">
        <v>5</v>
      </c>
      <c r="D31" s="12">
        <v>5</v>
      </c>
      <c r="E31" s="12">
        <v>4</v>
      </c>
      <c r="F31" s="12">
        <v>4</v>
      </c>
      <c r="G31" s="12">
        <v>22</v>
      </c>
      <c r="H31">
        <f t="shared" si="5"/>
        <v>4.4000000000000004</v>
      </c>
      <c r="I31" s="9">
        <f t="shared" si="0"/>
        <v>9.3652445369406707E-3</v>
      </c>
      <c r="J31" s="9">
        <f t="shared" si="1"/>
        <v>0.81581685744016663</v>
      </c>
      <c r="K31" s="9">
        <f t="shared" si="2"/>
        <v>0.81581685744016663</v>
      </c>
      <c r="L31" s="9">
        <f t="shared" si="3"/>
        <v>9.3652445369406707E-3</v>
      </c>
      <c r="M31" s="9">
        <f t="shared" si="4"/>
        <v>9.3652445369406707E-3</v>
      </c>
    </row>
    <row r="32" spans="1:13" x14ac:dyDescent="0.2">
      <c r="A32" s="11">
        <v>35</v>
      </c>
      <c r="B32" s="12">
        <v>4</v>
      </c>
      <c r="C32" s="12">
        <v>4</v>
      </c>
      <c r="D32" s="12">
        <v>4</v>
      </c>
      <c r="E32" s="12">
        <v>4</v>
      </c>
      <c r="F32" s="12">
        <v>3</v>
      </c>
      <c r="G32" s="12">
        <v>19</v>
      </c>
      <c r="H32">
        <f t="shared" si="5"/>
        <v>3.8</v>
      </c>
      <c r="I32" s="9">
        <f t="shared" si="0"/>
        <v>9.3652445369406707E-3</v>
      </c>
      <c r="J32" s="9">
        <f t="shared" si="1"/>
        <v>9.3652445369406707E-3</v>
      </c>
      <c r="K32" s="9">
        <f t="shared" si="2"/>
        <v>9.3652445369406707E-3</v>
      </c>
      <c r="L32" s="9">
        <f t="shared" si="3"/>
        <v>9.3652445369406707E-3</v>
      </c>
      <c r="M32" s="9">
        <f t="shared" si="4"/>
        <v>1.2029136316337148</v>
      </c>
    </row>
    <row r="33" spans="1:13" x14ac:dyDescent="0.2">
      <c r="A33" s="11">
        <v>36</v>
      </c>
      <c r="B33" s="12">
        <v>4</v>
      </c>
      <c r="C33" s="12">
        <v>5</v>
      </c>
      <c r="D33" s="12">
        <v>5</v>
      </c>
      <c r="E33" s="12">
        <v>5</v>
      </c>
      <c r="F33" s="12">
        <v>5</v>
      </c>
      <c r="G33" s="12">
        <v>24</v>
      </c>
      <c r="H33">
        <f t="shared" si="5"/>
        <v>4.8</v>
      </c>
      <c r="I33" s="9">
        <f t="shared" si="0"/>
        <v>9.3652445369406707E-3</v>
      </c>
      <c r="J33" s="9">
        <f t="shared" si="1"/>
        <v>0.81581685744016663</v>
      </c>
      <c r="K33" s="9">
        <f t="shared" si="2"/>
        <v>0.81581685744016663</v>
      </c>
      <c r="L33" s="9">
        <f t="shared" si="3"/>
        <v>0.81581685744016663</v>
      </c>
      <c r="M33" s="9">
        <f t="shared" si="4"/>
        <v>0.81581685744016663</v>
      </c>
    </row>
    <row r="34" spans="1:13" x14ac:dyDescent="0.2">
      <c r="A34" s="11">
        <v>37</v>
      </c>
      <c r="B34" s="12">
        <v>4</v>
      </c>
      <c r="C34" s="12">
        <v>3</v>
      </c>
      <c r="D34" s="12">
        <v>4</v>
      </c>
      <c r="E34" s="12">
        <v>4</v>
      </c>
      <c r="F34" s="12">
        <v>4</v>
      </c>
      <c r="G34" s="12">
        <v>19</v>
      </c>
      <c r="H34">
        <f t="shared" si="5"/>
        <v>3.8</v>
      </c>
      <c r="I34" s="9">
        <f t="shared" si="0"/>
        <v>9.3652445369406707E-3</v>
      </c>
      <c r="J34" s="9">
        <f t="shared" si="1"/>
        <v>1.2029136316337148</v>
      </c>
      <c r="K34" s="9">
        <f t="shared" si="2"/>
        <v>9.3652445369406707E-3</v>
      </c>
      <c r="L34" s="9">
        <f t="shared" si="3"/>
        <v>9.3652445369406707E-3</v>
      </c>
      <c r="M34" s="9">
        <f t="shared" si="4"/>
        <v>9.3652445369406707E-3</v>
      </c>
    </row>
    <row r="35" spans="1:13" x14ac:dyDescent="0.2">
      <c r="A35" s="11">
        <v>38</v>
      </c>
      <c r="B35" s="12">
        <v>5</v>
      </c>
      <c r="C35" s="12">
        <v>4</v>
      </c>
      <c r="D35" s="12">
        <v>5</v>
      </c>
      <c r="E35" s="12">
        <v>5</v>
      </c>
      <c r="F35" s="12">
        <v>5</v>
      </c>
      <c r="G35" s="12">
        <v>24</v>
      </c>
      <c r="H35">
        <f t="shared" si="5"/>
        <v>4.8</v>
      </c>
      <c r="I35" s="9">
        <f t="shared" si="0"/>
        <v>0.81581685744016663</v>
      </c>
      <c r="J35" s="9">
        <f t="shared" si="1"/>
        <v>9.3652445369406707E-3</v>
      </c>
      <c r="K35" s="9">
        <f t="shared" si="2"/>
        <v>0.81581685744016663</v>
      </c>
      <c r="L35" s="9">
        <f t="shared" si="3"/>
        <v>0.81581685744016663</v>
      </c>
      <c r="M35" s="10">
        <f t="shared" si="4"/>
        <v>0.81581685744016663</v>
      </c>
    </row>
    <row r="36" spans="1:13" ht="17" thickBot="1" x14ac:dyDescent="0.25">
      <c r="A36" s="2" t="s">
        <v>10</v>
      </c>
      <c r="B36">
        <v>131</v>
      </c>
      <c r="C36">
        <v>128</v>
      </c>
      <c r="D36">
        <v>128</v>
      </c>
      <c r="E36">
        <v>117</v>
      </c>
      <c r="F36">
        <v>131</v>
      </c>
      <c r="G36">
        <v>635</v>
      </c>
      <c r="M36" s="3"/>
    </row>
    <row r="37" spans="1:13" ht="17" thickBot="1" x14ac:dyDescent="0.25">
      <c r="A37" s="15" t="s">
        <v>15</v>
      </c>
      <c r="B37" s="3">
        <f>AVERAGE(B5:B35)</f>
        <v>4.225806451612903</v>
      </c>
      <c r="C37" s="3">
        <f t="shared" ref="C37:F37" si="6">AVERAGE(C5:C35)</f>
        <v>4.129032258064516</v>
      </c>
      <c r="D37" s="3">
        <f t="shared" si="6"/>
        <v>4.129032258064516</v>
      </c>
      <c r="E37" s="3">
        <f t="shared" si="6"/>
        <v>3.774193548387097</v>
      </c>
      <c r="F37" s="3">
        <f t="shared" si="6"/>
        <v>4.225806451612903</v>
      </c>
      <c r="G37" s="17">
        <f>AVERAGE(B5:F35)</f>
        <v>4.096774193548387</v>
      </c>
      <c r="H37" s="14" t="s">
        <v>19</v>
      </c>
    </row>
    <row r="38" spans="1:13" x14ac:dyDescent="0.2">
      <c r="A38" t="s">
        <v>16</v>
      </c>
      <c r="B38" s="3">
        <f>B37-$G$37</f>
        <v>0.12903225806451601</v>
      </c>
      <c r="C38" s="3">
        <f t="shared" ref="C38:F38" si="7">C37-$G$37</f>
        <v>3.2258064516129004E-2</v>
      </c>
      <c r="D38" s="3">
        <f t="shared" si="7"/>
        <v>3.2258064516129004E-2</v>
      </c>
      <c r="E38" s="3">
        <f t="shared" si="7"/>
        <v>-0.32258064516129004</v>
      </c>
      <c r="F38" s="3">
        <f t="shared" si="7"/>
        <v>0.12903225806451601</v>
      </c>
    </row>
    <row r="39" spans="1:13" x14ac:dyDescent="0.2">
      <c r="A39" s="2" t="s">
        <v>17</v>
      </c>
      <c r="B39" s="4" cm="1">
        <f t="array" ref="B39">SUMPRODUCT((B5:F35 - $G$37)^2)</f>
        <v>115.54838709677419</v>
      </c>
      <c r="C39" s="14"/>
      <c r="D39" s="14"/>
    </row>
    <row r="40" spans="1:13" ht="17" customHeight="1" x14ac:dyDescent="0.2">
      <c r="A40" s="2" t="s">
        <v>21</v>
      </c>
      <c r="B40" s="5" cm="1">
        <f t="array" ref="B40">SUMPRODUCT((B37:F37 - $G$37)^2 * ROWS(B5:B35))</f>
        <v>4.3225806451612829</v>
      </c>
    </row>
    <row r="41" spans="1:13" ht="17" customHeight="1" x14ac:dyDescent="0.2">
      <c r="A41" s="2" t="s">
        <v>18</v>
      </c>
      <c r="B41" s="5" cm="1">
        <f t="array" ref="B41">SUMPRODUCT((H5:H35 - $G$37)^2 * COLUMNS(B5:F35))</f>
        <v>61.148387096774172</v>
      </c>
    </row>
    <row r="42" spans="1:13" ht="17" customHeight="1" x14ac:dyDescent="0.2">
      <c r="A42" s="2" t="s">
        <v>22</v>
      </c>
      <c r="B42" s="4">
        <f>B39-B40-B41</f>
        <v>50.077419354838739</v>
      </c>
    </row>
    <row r="43" spans="1:13" ht="17" customHeight="1" x14ac:dyDescent="0.2">
      <c r="A43" s="2" t="s">
        <v>24</v>
      </c>
      <c r="B43" s="3">
        <f>(B40/B39)</f>
        <v>3.7409268565047393E-2</v>
      </c>
    </row>
    <row r="44" spans="1:13" ht="17" customHeight="1" x14ac:dyDescent="0.2">
      <c r="A44" t="s">
        <v>25</v>
      </c>
      <c r="B44" s="3">
        <f>(B42/B39)</f>
        <v>0.43338916806253514</v>
      </c>
    </row>
    <row r="45" spans="1:13" ht="17" customHeight="1" x14ac:dyDescent="0.2"/>
    <row r="46" spans="1:13" ht="17" customHeight="1" x14ac:dyDescent="0.2">
      <c r="A46" t="s">
        <v>26</v>
      </c>
      <c r="E46" s="13"/>
    </row>
    <row r="47" spans="1:13" ht="17" customHeight="1" x14ac:dyDescent="0.2">
      <c r="A47" t="s">
        <v>27</v>
      </c>
      <c r="B47" s="7">
        <f>5-1</f>
        <v>4</v>
      </c>
      <c r="E47" s="13"/>
    </row>
    <row r="48" spans="1:13" ht="17" x14ac:dyDescent="0.2">
      <c r="A48" t="s">
        <v>28</v>
      </c>
      <c r="B48">
        <f>31-1</f>
        <v>30</v>
      </c>
      <c r="E48" s="13"/>
    </row>
    <row r="49" spans="1:6" ht="17" x14ac:dyDescent="0.2">
      <c r="A49" t="s">
        <v>29</v>
      </c>
      <c r="B49">
        <f>(5-1)*(31-1)</f>
        <v>120</v>
      </c>
      <c r="E49" s="13"/>
    </row>
    <row r="50" spans="1:6" ht="17" x14ac:dyDescent="0.2">
      <c r="A50" t="s">
        <v>30</v>
      </c>
      <c r="B50" s="3">
        <f>B40/4</f>
        <v>1.0806451612903207</v>
      </c>
      <c r="E50" s="13"/>
    </row>
    <row r="51" spans="1:6" ht="17" x14ac:dyDescent="0.2">
      <c r="A51" t="s">
        <v>31</v>
      </c>
      <c r="B51" s="3">
        <f>B42/B49</f>
        <v>0.41731182795698951</v>
      </c>
      <c r="E51" s="13"/>
    </row>
    <row r="52" spans="1:6" ht="17" x14ac:dyDescent="0.2">
      <c r="A52" t="s">
        <v>39</v>
      </c>
      <c r="B52" s="3">
        <f>B50/B51</f>
        <v>2.5895387786652866</v>
      </c>
      <c r="E52" s="13"/>
    </row>
    <row r="53" spans="1:6" ht="17" x14ac:dyDescent="0.2">
      <c r="A53" t="s">
        <v>40</v>
      </c>
      <c r="B53" s="3">
        <f>_xlfn.F.DIST.RT(B52,B47,B49)</f>
        <v>4.0139685429024054E-2</v>
      </c>
      <c r="E53" s="13"/>
    </row>
    <row r="55" spans="1:6" x14ac:dyDescent="0.2">
      <c r="A55" t="s">
        <v>32</v>
      </c>
      <c r="B55">
        <v>0.05</v>
      </c>
      <c r="C55" t="s">
        <v>37</v>
      </c>
      <c r="D55" t="b">
        <f>B52&gt;B56</f>
        <v>1</v>
      </c>
      <c r="E55" t="s">
        <v>38</v>
      </c>
      <c r="F55" t="b">
        <f>B53&lt;B55</f>
        <v>1</v>
      </c>
    </row>
    <row r="56" spans="1:6" ht="17" thickBot="1" x14ac:dyDescent="0.25">
      <c r="A56" s="8" t="s">
        <v>33</v>
      </c>
      <c r="B56" s="8">
        <f>_xlfn.F.INV.RT(B55,B47,B49)</f>
        <v>2.4472365114692973</v>
      </c>
    </row>
    <row r="58" spans="1:6" x14ac:dyDescent="0.2">
      <c r="A58" t="s">
        <v>32</v>
      </c>
      <c r="B58">
        <v>0.04</v>
      </c>
      <c r="C58" t="s">
        <v>37</v>
      </c>
      <c r="D58" t="b">
        <f>B51&gt;B59</f>
        <v>0</v>
      </c>
      <c r="E58" t="s">
        <v>38</v>
      </c>
      <c r="F58" t="b">
        <f>B53&lt;B58</f>
        <v>0</v>
      </c>
    </row>
    <row r="59" spans="1:6" ht="17" thickBot="1" x14ac:dyDescent="0.25">
      <c r="A59" s="8" t="s">
        <v>33</v>
      </c>
      <c r="B59" s="8">
        <f>_xlfn.F.INV.RT(B58,B47,B49)</f>
        <v>2.5917917892815714</v>
      </c>
    </row>
    <row r="61" spans="1:6" x14ac:dyDescent="0.2">
      <c r="A61" t="s">
        <v>32</v>
      </c>
      <c r="B61">
        <v>0.01</v>
      </c>
      <c r="C61" t="s">
        <v>37</v>
      </c>
      <c r="D61" t="b">
        <f>B52&gt;B62</f>
        <v>0</v>
      </c>
      <c r="E61" t="s">
        <v>38</v>
      </c>
      <c r="F61" t="b">
        <f>B56&lt;B61</f>
        <v>0</v>
      </c>
    </row>
    <row r="62" spans="1:6" ht="17" thickBot="1" x14ac:dyDescent="0.25">
      <c r="A62" s="8" t="s">
        <v>33</v>
      </c>
      <c r="B62" s="8">
        <f>_xlfn.F.INV.RT(B61,B47,B49)</f>
        <v>3.4795313895777449</v>
      </c>
    </row>
    <row r="63" spans="1:6" x14ac:dyDescent="0.2">
      <c r="A63" s="2"/>
    </row>
    <row r="64" spans="1:6" x14ac:dyDescent="0.2">
      <c r="A64" t="s">
        <v>32</v>
      </c>
      <c r="B64">
        <v>1E-3</v>
      </c>
      <c r="C64" t="s">
        <v>37</v>
      </c>
      <c r="D64" t="b">
        <f>B55&gt;B65</f>
        <v>0</v>
      </c>
      <c r="E64" t="s">
        <v>38</v>
      </c>
      <c r="F64" t="b">
        <f>B59&lt;B64</f>
        <v>0</v>
      </c>
    </row>
    <row r="65" spans="1:2" ht="17" thickBot="1" x14ac:dyDescent="0.25">
      <c r="A65" s="8" t="s">
        <v>33</v>
      </c>
      <c r="B65" s="8">
        <f>_xlfn.F.INV.RT(B64,B50,B52)</f>
        <v>998.50025012506251</v>
      </c>
    </row>
    <row r="66" spans="1:2" x14ac:dyDescent="0.2">
      <c r="A66" s="2"/>
    </row>
    <row r="67" spans="1:2" x14ac:dyDescent="0.2">
      <c r="A67" s="2"/>
    </row>
    <row r="68" spans="1:2" x14ac:dyDescent="0.2">
      <c r="A68" s="2"/>
    </row>
    <row r="69" spans="1:2" x14ac:dyDescent="0.2">
      <c r="A69" s="2"/>
    </row>
    <row r="70" spans="1:2" x14ac:dyDescent="0.2">
      <c r="A70" s="2"/>
    </row>
    <row r="71" spans="1:2" x14ac:dyDescent="0.2">
      <c r="A71" s="2"/>
    </row>
    <row r="72" spans="1:2" x14ac:dyDescent="0.2">
      <c r="A72" s="2"/>
    </row>
    <row r="73" spans="1:2" x14ac:dyDescent="0.2">
      <c r="A73" s="2"/>
    </row>
    <row r="74" spans="1:2" x14ac:dyDescent="0.2">
      <c r="A74" s="2"/>
    </row>
    <row r="75" spans="1:2" x14ac:dyDescent="0.2">
      <c r="A75" s="2"/>
    </row>
    <row r="76" spans="1:2" x14ac:dyDescent="0.2">
      <c r="A76" s="2"/>
    </row>
  </sheetData>
  <mergeCells count="2">
    <mergeCell ref="A2:G2"/>
    <mergeCell ref="I3:M3"/>
  </mergeCells>
  <conditionalFormatting sqref="D52:D62 K55">
    <cfRule type="containsText" dxfId="9" priority="3" operator="containsText" text="FALSE">
      <formula>NOT(ISERROR(SEARCH("FALSE",D52)))</formula>
    </cfRule>
    <cfRule type="containsText" dxfId="8" priority="4" operator="containsText" text="TRUE">
      <formula>NOT(ISERROR(SEARCH("TRUE",D52)))</formula>
    </cfRule>
  </conditionalFormatting>
  <conditionalFormatting sqref="D64:D65">
    <cfRule type="containsText" dxfId="7" priority="1" operator="containsText" text="FALSE">
      <formula>NOT(ISERROR(SEARCH("FALSE",D64)))</formula>
    </cfRule>
    <cfRule type="containsText" dxfId="6" priority="2" operator="containsText" text="TRUE">
      <formula>NOT(ISERROR(SEARCH("TRUE",D64)))</formula>
    </cfRule>
  </conditionalFormatting>
  <pageMargins left="0.7" right="0.7" top="0.75" bottom="0.75" header="0.3" footer="0.3"/>
  <pageSetup paperSize="9" orientation="portrait" horizontalDpi="0" verticalDpi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6741-5301-6E40-9754-8B7EB1DCD935}">
  <dimension ref="A2:R65"/>
  <sheetViews>
    <sheetView tabSelected="1" topLeftCell="A18" zoomScale="118" zoomScaleNormal="150" workbookViewId="0">
      <selection activeCell="B53" sqref="B53"/>
    </sheetView>
  </sheetViews>
  <sheetFormatPr baseColWidth="10" defaultRowHeight="16" x14ac:dyDescent="0.2"/>
  <cols>
    <col min="1" max="1" width="13.1640625" customWidth="1"/>
    <col min="2" max="2" width="44" customWidth="1"/>
    <col min="3" max="3" width="6.83203125" customWidth="1"/>
    <col min="4" max="5" width="6.83203125" bestFit="1" customWidth="1"/>
    <col min="6" max="6" width="5.83203125" bestFit="1" customWidth="1"/>
    <col min="7" max="7" width="10.5" bestFit="1" customWidth="1"/>
    <col min="8" max="8" width="16" bestFit="1" customWidth="1"/>
    <col min="9" max="9" width="18.6640625" customWidth="1"/>
    <col min="10" max="10" width="9.33203125" customWidth="1"/>
    <col min="11" max="11" width="7" customWidth="1"/>
    <col min="12" max="12" width="7.1640625" customWidth="1"/>
    <col min="13" max="13" width="6.6640625" customWidth="1"/>
    <col min="14" max="31" width="16" bestFit="1" customWidth="1"/>
    <col min="32" max="32" width="10.5" bestFit="1" customWidth="1"/>
  </cols>
  <sheetData>
    <row r="2" spans="1:13" x14ac:dyDescent="0.2">
      <c r="A2" s="22" t="s">
        <v>4</v>
      </c>
      <c r="B2" s="22"/>
      <c r="C2" s="22"/>
      <c r="D2" s="22"/>
      <c r="E2" s="22"/>
      <c r="F2" s="22"/>
      <c r="G2" s="22"/>
    </row>
    <row r="3" spans="1:13" x14ac:dyDescent="0.2">
      <c r="A3" s="1" t="s">
        <v>13</v>
      </c>
      <c r="B3" s="1" t="s">
        <v>11</v>
      </c>
    </row>
    <row r="4" spans="1:13" x14ac:dyDescent="0.2">
      <c r="A4" s="1" t="s">
        <v>36</v>
      </c>
      <c r="B4" t="s">
        <v>5</v>
      </c>
      <c r="C4" t="s">
        <v>7</v>
      </c>
      <c r="D4" t="s">
        <v>8</v>
      </c>
      <c r="E4" t="s">
        <v>9</v>
      </c>
      <c r="F4" t="s">
        <v>6</v>
      </c>
      <c r="G4" t="s">
        <v>10</v>
      </c>
      <c r="H4" s="15" t="s">
        <v>23</v>
      </c>
      <c r="I4" s="21" t="s">
        <v>20</v>
      </c>
      <c r="J4" s="21"/>
      <c r="K4" s="21"/>
      <c r="L4" s="21"/>
      <c r="M4" s="21"/>
    </row>
    <row r="5" spans="1:13" x14ac:dyDescent="0.2">
      <c r="A5" s="2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5</v>
      </c>
      <c r="H5">
        <f>AVERAGE(B5:F5)</f>
        <v>1</v>
      </c>
      <c r="I5" s="6" t="s">
        <v>5</v>
      </c>
      <c r="J5" s="6" t="s">
        <v>7</v>
      </c>
      <c r="K5" s="6" t="s">
        <v>8</v>
      </c>
      <c r="L5" s="6" t="s">
        <v>9</v>
      </c>
      <c r="M5" s="6" t="s">
        <v>6</v>
      </c>
    </row>
    <row r="6" spans="1:13" x14ac:dyDescent="0.2">
      <c r="A6" s="2">
        <v>5</v>
      </c>
      <c r="B6">
        <v>1</v>
      </c>
      <c r="C6">
        <v>2</v>
      </c>
      <c r="D6">
        <v>2</v>
      </c>
      <c r="E6">
        <v>2</v>
      </c>
      <c r="F6">
        <v>1</v>
      </c>
      <c r="G6">
        <v>8</v>
      </c>
      <c r="H6">
        <f>AVERAGE(B6:F6)</f>
        <v>1.6</v>
      </c>
      <c r="I6" s="3">
        <f>(B5-$G$37)^2</f>
        <v>3.5489698231009363</v>
      </c>
      <c r="J6" s="3">
        <f>(C5-$G$37)^2</f>
        <v>3.5489698231009363</v>
      </c>
      <c r="K6" s="3">
        <f t="shared" ref="K6:L21" si="0">(D5-$G$37)^2</f>
        <v>3.5489698231009363</v>
      </c>
      <c r="L6" s="3">
        <f t="shared" si="0"/>
        <v>3.5489698231009363</v>
      </c>
      <c r="M6" s="3">
        <f>(F5-$G$37)^2</f>
        <v>3.5489698231009363</v>
      </c>
    </row>
    <row r="7" spans="1:13" x14ac:dyDescent="0.2">
      <c r="A7" s="2">
        <v>6</v>
      </c>
      <c r="B7">
        <v>3</v>
      </c>
      <c r="C7">
        <v>2</v>
      </c>
      <c r="D7">
        <v>2</v>
      </c>
      <c r="E7">
        <v>4</v>
      </c>
      <c r="F7">
        <v>3</v>
      </c>
      <c r="G7">
        <v>14</v>
      </c>
      <c r="H7">
        <f t="shared" ref="H7:H35" si="1">AVERAGE(B7:F7)</f>
        <v>2.8</v>
      </c>
      <c r="I7" s="3">
        <f t="shared" ref="I7:I35" si="2">(B6-$G$37)^2</f>
        <v>3.5489698231009363</v>
      </c>
      <c r="J7" s="3">
        <f t="shared" ref="J7:L35" si="3">(C6-$G$37)^2</f>
        <v>0.78122788761706541</v>
      </c>
      <c r="K7" s="3">
        <f t="shared" si="0"/>
        <v>0.78122788761706541</v>
      </c>
      <c r="L7" s="3">
        <f t="shared" si="0"/>
        <v>0.78122788761706541</v>
      </c>
      <c r="M7" s="3">
        <f t="shared" ref="M7:M35" si="4">(F6-$G$37)^2</f>
        <v>3.5489698231009363</v>
      </c>
    </row>
    <row r="8" spans="1:13" x14ac:dyDescent="0.2">
      <c r="A8" s="2">
        <v>7</v>
      </c>
      <c r="B8">
        <v>2</v>
      </c>
      <c r="C8">
        <v>4</v>
      </c>
      <c r="D8">
        <v>3</v>
      </c>
      <c r="E8">
        <v>3</v>
      </c>
      <c r="F8">
        <v>2</v>
      </c>
      <c r="G8">
        <v>14</v>
      </c>
      <c r="H8">
        <f t="shared" si="1"/>
        <v>2.8</v>
      </c>
      <c r="I8" s="3">
        <f t="shared" si="2"/>
        <v>1.3485952133194607E-2</v>
      </c>
      <c r="J8" s="3">
        <f t="shared" si="3"/>
        <v>0.78122788761706541</v>
      </c>
      <c r="K8" s="3">
        <f t="shared" si="0"/>
        <v>0.78122788761706541</v>
      </c>
      <c r="L8" s="3">
        <f t="shared" si="0"/>
        <v>1.2457440166493239</v>
      </c>
      <c r="M8" s="3">
        <f t="shared" si="4"/>
        <v>1.3485952133194607E-2</v>
      </c>
    </row>
    <row r="9" spans="1:13" x14ac:dyDescent="0.2">
      <c r="A9" s="2">
        <v>8</v>
      </c>
      <c r="B9">
        <v>3</v>
      </c>
      <c r="C9">
        <v>3</v>
      </c>
      <c r="D9">
        <v>3</v>
      </c>
      <c r="E9">
        <v>2</v>
      </c>
      <c r="F9">
        <v>3</v>
      </c>
      <c r="G9">
        <v>14</v>
      </c>
      <c r="H9">
        <f t="shared" si="1"/>
        <v>2.8</v>
      </c>
      <c r="I9" s="3">
        <f t="shared" si="2"/>
        <v>0.78122788761706541</v>
      </c>
      <c r="J9" s="3">
        <f t="shared" si="3"/>
        <v>1.2457440166493239</v>
      </c>
      <c r="K9" s="3">
        <f t="shared" si="0"/>
        <v>1.3485952133194607E-2</v>
      </c>
      <c r="L9" s="3">
        <f t="shared" si="0"/>
        <v>1.3485952133194607E-2</v>
      </c>
      <c r="M9" s="3">
        <f t="shared" si="4"/>
        <v>0.78122788761706541</v>
      </c>
    </row>
    <row r="10" spans="1:13" x14ac:dyDescent="0.2">
      <c r="A10" s="2">
        <v>9</v>
      </c>
      <c r="B10">
        <v>4</v>
      </c>
      <c r="C10">
        <v>3</v>
      </c>
      <c r="D10">
        <v>3</v>
      </c>
      <c r="E10">
        <v>2</v>
      </c>
      <c r="F10">
        <v>4</v>
      </c>
      <c r="G10">
        <v>16</v>
      </c>
      <c r="H10">
        <f t="shared" si="1"/>
        <v>3.2</v>
      </c>
      <c r="I10" s="3">
        <f t="shared" si="2"/>
        <v>1.3485952133194607E-2</v>
      </c>
      <c r="J10" s="3">
        <f t="shared" si="3"/>
        <v>1.3485952133194607E-2</v>
      </c>
      <c r="K10" s="3">
        <f t="shared" si="0"/>
        <v>1.3485952133194607E-2</v>
      </c>
      <c r="L10" s="3">
        <f t="shared" si="0"/>
        <v>0.78122788761706541</v>
      </c>
      <c r="M10" s="3">
        <f t="shared" si="4"/>
        <v>1.3485952133194607E-2</v>
      </c>
    </row>
    <row r="11" spans="1:13" x14ac:dyDescent="0.2">
      <c r="A11" s="2">
        <v>10</v>
      </c>
      <c r="B11">
        <v>3</v>
      </c>
      <c r="C11">
        <v>4</v>
      </c>
      <c r="D11">
        <v>2</v>
      </c>
      <c r="E11">
        <v>2</v>
      </c>
      <c r="F11">
        <v>4</v>
      </c>
      <c r="G11">
        <v>15</v>
      </c>
      <c r="H11">
        <f t="shared" si="1"/>
        <v>3</v>
      </c>
      <c r="I11" s="3">
        <f t="shared" si="2"/>
        <v>1.2457440166493239</v>
      </c>
      <c r="J11" s="3">
        <f t="shared" si="3"/>
        <v>1.3485952133194607E-2</v>
      </c>
      <c r="K11" s="3">
        <f t="shared" si="0"/>
        <v>1.3485952133194607E-2</v>
      </c>
      <c r="L11" s="3">
        <f t="shared" si="0"/>
        <v>0.78122788761706541</v>
      </c>
      <c r="M11" s="3">
        <f t="shared" si="4"/>
        <v>1.2457440166493239</v>
      </c>
    </row>
    <row r="12" spans="1:13" x14ac:dyDescent="0.2">
      <c r="A12" s="2">
        <v>12</v>
      </c>
      <c r="B12">
        <v>3</v>
      </c>
      <c r="C12">
        <v>4</v>
      </c>
      <c r="D12">
        <v>3</v>
      </c>
      <c r="E12">
        <v>2</v>
      </c>
      <c r="F12">
        <v>2</v>
      </c>
      <c r="G12">
        <v>14</v>
      </c>
      <c r="H12">
        <f t="shared" si="1"/>
        <v>2.8</v>
      </c>
      <c r="I12" s="3">
        <f t="shared" si="2"/>
        <v>1.3485952133194607E-2</v>
      </c>
      <c r="J12" s="3">
        <f t="shared" si="3"/>
        <v>1.2457440166493239</v>
      </c>
      <c r="K12" s="3">
        <f t="shared" si="0"/>
        <v>0.78122788761706541</v>
      </c>
      <c r="L12" s="3">
        <f t="shared" si="0"/>
        <v>0.78122788761706541</v>
      </c>
      <c r="M12" s="3">
        <f t="shared" si="4"/>
        <v>1.2457440166493239</v>
      </c>
    </row>
    <row r="13" spans="1:13" x14ac:dyDescent="0.2">
      <c r="A13" s="2">
        <v>13</v>
      </c>
      <c r="B13">
        <v>2</v>
      </c>
      <c r="C13">
        <v>3</v>
      </c>
      <c r="D13">
        <v>3</v>
      </c>
      <c r="E13">
        <v>2</v>
      </c>
      <c r="F13">
        <v>2</v>
      </c>
      <c r="G13">
        <v>12</v>
      </c>
      <c r="H13">
        <f t="shared" si="1"/>
        <v>2.4</v>
      </c>
      <c r="I13" s="3">
        <f t="shared" si="2"/>
        <v>1.3485952133194607E-2</v>
      </c>
      <c r="J13" s="3">
        <f t="shared" si="3"/>
        <v>1.2457440166493239</v>
      </c>
      <c r="K13" s="3">
        <f t="shared" si="0"/>
        <v>1.3485952133194607E-2</v>
      </c>
      <c r="L13" s="3">
        <f t="shared" si="0"/>
        <v>0.78122788761706541</v>
      </c>
      <c r="M13" s="3">
        <f t="shared" si="4"/>
        <v>0.78122788761706541</v>
      </c>
    </row>
    <row r="14" spans="1:13" x14ac:dyDescent="0.2">
      <c r="A14" s="2">
        <v>14</v>
      </c>
      <c r="B14">
        <v>4</v>
      </c>
      <c r="C14">
        <v>3</v>
      </c>
      <c r="D14">
        <v>4</v>
      </c>
      <c r="E14">
        <v>4</v>
      </c>
      <c r="F14">
        <v>5</v>
      </c>
      <c r="G14">
        <v>20</v>
      </c>
      <c r="H14">
        <f t="shared" si="1"/>
        <v>4</v>
      </c>
      <c r="I14" s="3">
        <f t="shared" si="2"/>
        <v>0.78122788761706541</v>
      </c>
      <c r="J14" s="3">
        <f t="shared" si="3"/>
        <v>1.3485952133194607E-2</v>
      </c>
      <c r="K14" s="3">
        <f t="shared" si="0"/>
        <v>1.3485952133194607E-2</v>
      </c>
      <c r="L14" s="3">
        <f t="shared" si="0"/>
        <v>0.78122788761706541</v>
      </c>
      <c r="M14" s="3">
        <f t="shared" si="4"/>
        <v>0.78122788761706541</v>
      </c>
    </row>
    <row r="15" spans="1:13" x14ac:dyDescent="0.2">
      <c r="A15" s="2">
        <v>15</v>
      </c>
      <c r="B15">
        <v>4</v>
      </c>
      <c r="C15">
        <v>4</v>
      </c>
      <c r="D15">
        <v>3</v>
      </c>
      <c r="E15">
        <v>4</v>
      </c>
      <c r="F15">
        <v>4</v>
      </c>
      <c r="G15">
        <v>19</v>
      </c>
      <c r="H15">
        <f t="shared" si="1"/>
        <v>3.8</v>
      </c>
      <c r="I15" s="3">
        <f t="shared" si="2"/>
        <v>1.2457440166493239</v>
      </c>
      <c r="J15" s="3">
        <f t="shared" si="3"/>
        <v>1.3485952133194607E-2</v>
      </c>
      <c r="K15" s="3">
        <f t="shared" si="0"/>
        <v>1.2457440166493239</v>
      </c>
      <c r="L15" s="3">
        <f t="shared" si="0"/>
        <v>1.2457440166493239</v>
      </c>
      <c r="M15" s="3">
        <f t="shared" si="4"/>
        <v>4.4780020811654531</v>
      </c>
    </row>
    <row r="16" spans="1:13" x14ac:dyDescent="0.2">
      <c r="A16" s="2">
        <v>16</v>
      </c>
      <c r="B16">
        <v>2</v>
      </c>
      <c r="C16">
        <v>2</v>
      </c>
      <c r="D16">
        <v>4</v>
      </c>
      <c r="E16">
        <v>4</v>
      </c>
      <c r="F16">
        <v>3</v>
      </c>
      <c r="G16">
        <v>15</v>
      </c>
      <c r="H16">
        <f t="shared" si="1"/>
        <v>3</v>
      </c>
      <c r="I16" s="3">
        <f t="shared" si="2"/>
        <v>1.2457440166493239</v>
      </c>
      <c r="J16" s="3">
        <f t="shared" si="3"/>
        <v>1.2457440166493239</v>
      </c>
      <c r="K16" s="3">
        <f t="shared" si="0"/>
        <v>1.3485952133194607E-2</v>
      </c>
      <c r="L16" s="3">
        <f t="shared" si="0"/>
        <v>1.2457440166493239</v>
      </c>
      <c r="M16" s="3">
        <f t="shared" si="4"/>
        <v>1.2457440166493239</v>
      </c>
    </row>
    <row r="17" spans="1:13" x14ac:dyDescent="0.2">
      <c r="A17" s="2">
        <v>17</v>
      </c>
      <c r="B17">
        <v>2</v>
      </c>
      <c r="C17">
        <v>2</v>
      </c>
      <c r="D17">
        <v>4</v>
      </c>
      <c r="E17">
        <v>1</v>
      </c>
      <c r="F17">
        <v>2</v>
      </c>
      <c r="G17">
        <v>11</v>
      </c>
      <c r="H17">
        <f t="shared" si="1"/>
        <v>2.2000000000000002</v>
      </c>
      <c r="I17" s="3">
        <f t="shared" si="2"/>
        <v>0.78122788761706541</v>
      </c>
      <c r="J17" s="3">
        <f t="shared" si="3"/>
        <v>0.78122788761706541</v>
      </c>
      <c r="K17" s="3">
        <f t="shared" si="0"/>
        <v>1.2457440166493239</v>
      </c>
      <c r="L17" s="3">
        <f t="shared" si="0"/>
        <v>1.2457440166493239</v>
      </c>
      <c r="M17" s="3">
        <f t="shared" si="4"/>
        <v>1.3485952133194607E-2</v>
      </c>
    </row>
    <row r="18" spans="1:13" x14ac:dyDescent="0.2">
      <c r="A18" s="2">
        <v>18</v>
      </c>
      <c r="B18">
        <v>2</v>
      </c>
      <c r="C18">
        <v>2</v>
      </c>
      <c r="D18">
        <v>2</v>
      </c>
      <c r="E18">
        <v>3</v>
      </c>
      <c r="F18">
        <v>3</v>
      </c>
      <c r="G18">
        <v>12</v>
      </c>
      <c r="H18">
        <f t="shared" si="1"/>
        <v>2.4</v>
      </c>
      <c r="I18" s="3">
        <f t="shared" si="2"/>
        <v>0.78122788761706541</v>
      </c>
      <c r="J18" s="3">
        <f t="shared" si="3"/>
        <v>0.78122788761706541</v>
      </c>
      <c r="K18" s="3">
        <f t="shared" si="0"/>
        <v>1.2457440166493239</v>
      </c>
      <c r="L18" s="3">
        <f t="shared" si="0"/>
        <v>3.5489698231009363</v>
      </c>
      <c r="M18" s="3">
        <f t="shared" si="4"/>
        <v>0.78122788761706541</v>
      </c>
    </row>
    <row r="19" spans="1:13" x14ac:dyDescent="0.2">
      <c r="A19" s="2">
        <v>19</v>
      </c>
      <c r="B19">
        <v>2</v>
      </c>
      <c r="C19">
        <v>3</v>
      </c>
      <c r="D19">
        <v>3</v>
      </c>
      <c r="E19">
        <v>2</v>
      </c>
      <c r="F19">
        <v>3</v>
      </c>
      <c r="G19">
        <v>13</v>
      </c>
      <c r="H19">
        <f t="shared" si="1"/>
        <v>2.6</v>
      </c>
      <c r="I19" s="3">
        <f t="shared" si="2"/>
        <v>0.78122788761706541</v>
      </c>
      <c r="J19" s="3">
        <f t="shared" si="3"/>
        <v>0.78122788761706541</v>
      </c>
      <c r="K19" s="3">
        <f t="shared" si="0"/>
        <v>0.78122788761706541</v>
      </c>
      <c r="L19" s="3">
        <f t="shared" si="0"/>
        <v>1.3485952133194607E-2</v>
      </c>
      <c r="M19" s="3">
        <f t="shared" si="4"/>
        <v>1.3485952133194607E-2</v>
      </c>
    </row>
    <row r="20" spans="1:13" x14ac:dyDescent="0.2">
      <c r="A20" s="2">
        <v>20</v>
      </c>
      <c r="B20">
        <v>3</v>
      </c>
      <c r="C20">
        <v>3</v>
      </c>
      <c r="D20">
        <v>3</v>
      </c>
      <c r="E20">
        <v>3</v>
      </c>
      <c r="F20">
        <v>3</v>
      </c>
      <c r="G20">
        <v>15</v>
      </c>
      <c r="H20">
        <f t="shared" si="1"/>
        <v>3</v>
      </c>
      <c r="I20" s="3">
        <f t="shared" si="2"/>
        <v>0.78122788761706541</v>
      </c>
      <c r="J20" s="3">
        <f t="shared" si="3"/>
        <v>1.3485952133194607E-2</v>
      </c>
      <c r="K20" s="3">
        <f t="shared" si="0"/>
        <v>1.3485952133194607E-2</v>
      </c>
      <c r="L20" s="3">
        <f t="shared" si="0"/>
        <v>0.78122788761706541</v>
      </c>
      <c r="M20" s="3">
        <f t="shared" si="4"/>
        <v>1.3485952133194607E-2</v>
      </c>
    </row>
    <row r="21" spans="1:13" x14ac:dyDescent="0.2">
      <c r="A21" s="2">
        <v>21</v>
      </c>
      <c r="B21">
        <v>3</v>
      </c>
      <c r="C21">
        <v>2</v>
      </c>
      <c r="D21">
        <v>2</v>
      </c>
      <c r="E21">
        <v>4</v>
      </c>
      <c r="F21">
        <v>4</v>
      </c>
      <c r="G21">
        <v>15</v>
      </c>
      <c r="H21">
        <f t="shared" si="1"/>
        <v>3</v>
      </c>
      <c r="I21" s="3">
        <f t="shared" si="2"/>
        <v>1.3485952133194607E-2</v>
      </c>
      <c r="J21" s="3">
        <f t="shared" si="3"/>
        <v>1.3485952133194607E-2</v>
      </c>
      <c r="K21" s="3">
        <f t="shared" si="0"/>
        <v>1.3485952133194607E-2</v>
      </c>
      <c r="L21" s="3">
        <f t="shared" si="0"/>
        <v>1.3485952133194607E-2</v>
      </c>
      <c r="M21" s="3">
        <f t="shared" si="4"/>
        <v>1.3485952133194607E-2</v>
      </c>
    </row>
    <row r="22" spans="1:13" x14ac:dyDescent="0.2">
      <c r="A22" s="2">
        <v>22</v>
      </c>
      <c r="B22">
        <v>4</v>
      </c>
      <c r="C22">
        <v>5</v>
      </c>
      <c r="D22">
        <v>4</v>
      </c>
      <c r="E22">
        <v>4</v>
      </c>
      <c r="F22">
        <v>4</v>
      </c>
      <c r="G22">
        <v>21</v>
      </c>
      <c r="H22">
        <f t="shared" si="1"/>
        <v>4.2</v>
      </c>
      <c r="I22" s="3">
        <f t="shared" si="2"/>
        <v>1.3485952133194607E-2</v>
      </c>
      <c r="J22" s="3">
        <f t="shared" si="3"/>
        <v>0.78122788761706541</v>
      </c>
      <c r="K22" s="3">
        <f t="shared" si="3"/>
        <v>0.78122788761706541</v>
      </c>
      <c r="L22" s="3">
        <f t="shared" si="3"/>
        <v>1.2457440166493239</v>
      </c>
      <c r="M22" s="3">
        <f t="shared" si="4"/>
        <v>1.2457440166493239</v>
      </c>
    </row>
    <row r="23" spans="1:13" x14ac:dyDescent="0.2">
      <c r="A23" s="2">
        <v>24</v>
      </c>
      <c r="B23">
        <v>5</v>
      </c>
      <c r="C23">
        <v>4</v>
      </c>
      <c r="D23">
        <v>4</v>
      </c>
      <c r="E23">
        <v>4</v>
      </c>
      <c r="F23">
        <v>5</v>
      </c>
      <c r="G23">
        <v>22</v>
      </c>
      <c r="H23">
        <f t="shared" si="1"/>
        <v>4.4000000000000004</v>
      </c>
      <c r="I23" s="3">
        <f t="shared" si="2"/>
        <v>1.2457440166493239</v>
      </c>
      <c r="J23" s="3">
        <f t="shared" si="3"/>
        <v>4.4780020811654531</v>
      </c>
      <c r="K23" s="3">
        <f t="shared" si="3"/>
        <v>1.2457440166493239</v>
      </c>
      <c r="L23" s="3">
        <f t="shared" si="3"/>
        <v>1.2457440166493239</v>
      </c>
      <c r="M23" s="3">
        <f t="shared" si="4"/>
        <v>1.2457440166493239</v>
      </c>
    </row>
    <row r="24" spans="1:13" x14ac:dyDescent="0.2">
      <c r="A24" s="2">
        <v>25</v>
      </c>
      <c r="B24">
        <v>4</v>
      </c>
      <c r="C24">
        <v>2</v>
      </c>
      <c r="D24">
        <v>2</v>
      </c>
      <c r="E24">
        <v>1</v>
      </c>
      <c r="F24">
        <v>4</v>
      </c>
      <c r="G24">
        <v>13</v>
      </c>
      <c r="H24">
        <f t="shared" si="1"/>
        <v>2.6</v>
      </c>
      <c r="I24" s="3">
        <f t="shared" si="2"/>
        <v>4.4780020811654531</v>
      </c>
      <c r="J24" s="3">
        <f t="shared" si="3"/>
        <v>1.2457440166493239</v>
      </c>
      <c r="K24" s="3">
        <f t="shared" si="3"/>
        <v>1.2457440166493239</v>
      </c>
      <c r="L24" s="3">
        <f t="shared" si="3"/>
        <v>1.2457440166493239</v>
      </c>
      <c r="M24" s="3">
        <f t="shared" si="4"/>
        <v>4.4780020811654531</v>
      </c>
    </row>
    <row r="25" spans="1:13" x14ac:dyDescent="0.2">
      <c r="A25" s="2">
        <v>26</v>
      </c>
      <c r="B25">
        <v>3</v>
      </c>
      <c r="C25">
        <v>3</v>
      </c>
      <c r="D25">
        <v>2</v>
      </c>
      <c r="E25">
        <v>3</v>
      </c>
      <c r="F25">
        <v>2</v>
      </c>
      <c r="G25">
        <v>13</v>
      </c>
      <c r="H25">
        <f t="shared" si="1"/>
        <v>2.6</v>
      </c>
      <c r="I25" s="3">
        <f t="shared" si="2"/>
        <v>1.2457440166493239</v>
      </c>
      <c r="J25" s="3">
        <f t="shared" si="3"/>
        <v>0.78122788761706541</v>
      </c>
      <c r="K25" s="3">
        <f t="shared" si="3"/>
        <v>0.78122788761706541</v>
      </c>
      <c r="L25" s="3">
        <f t="shared" si="3"/>
        <v>3.5489698231009363</v>
      </c>
      <c r="M25" s="3">
        <f t="shared" si="4"/>
        <v>1.2457440166493239</v>
      </c>
    </row>
    <row r="26" spans="1:13" x14ac:dyDescent="0.2">
      <c r="A26" s="2">
        <v>27</v>
      </c>
      <c r="B26">
        <v>2</v>
      </c>
      <c r="C26">
        <v>3</v>
      </c>
      <c r="D26">
        <v>4</v>
      </c>
      <c r="E26">
        <v>1</v>
      </c>
      <c r="F26">
        <v>3</v>
      </c>
      <c r="G26">
        <v>13</v>
      </c>
      <c r="H26">
        <f t="shared" si="1"/>
        <v>2.6</v>
      </c>
      <c r="I26" s="3">
        <f t="shared" si="2"/>
        <v>1.3485952133194607E-2</v>
      </c>
      <c r="J26" s="3">
        <f t="shared" si="3"/>
        <v>1.3485952133194607E-2</v>
      </c>
      <c r="K26" s="3">
        <f t="shared" si="3"/>
        <v>0.78122788761706541</v>
      </c>
      <c r="L26" s="3">
        <f t="shared" si="3"/>
        <v>1.3485952133194607E-2</v>
      </c>
      <c r="M26" s="3">
        <f t="shared" si="4"/>
        <v>0.78122788761706541</v>
      </c>
    </row>
    <row r="27" spans="1:13" x14ac:dyDescent="0.2">
      <c r="A27" s="2">
        <v>28</v>
      </c>
      <c r="B27">
        <v>1</v>
      </c>
      <c r="C27">
        <v>1</v>
      </c>
      <c r="D27">
        <v>3</v>
      </c>
      <c r="E27">
        <v>1</v>
      </c>
      <c r="F27">
        <v>2</v>
      </c>
      <c r="G27">
        <v>8</v>
      </c>
      <c r="H27">
        <f t="shared" si="1"/>
        <v>1.6</v>
      </c>
      <c r="I27" s="3">
        <f t="shared" si="2"/>
        <v>0.78122788761706541</v>
      </c>
      <c r="J27" s="3">
        <f t="shared" si="3"/>
        <v>1.3485952133194607E-2</v>
      </c>
      <c r="K27" s="3">
        <f t="shared" si="3"/>
        <v>1.2457440166493239</v>
      </c>
      <c r="L27" s="3">
        <f t="shared" si="3"/>
        <v>3.5489698231009363</v>
      </c>
      <c r="M27" s="3">
        <f t="shared" si="4"/>
        <v>1.3485952133194607E-2</v>
      </c>
    </row>
    <row r="28" spans="1:13" x14ac:dyDescent="0.2">
      <c r="A28" s="2">
        <v>29</v>
      </c>
      <c r="B28">
        <v>4</v>
      </c>
      <c r="C28">
        <v>1</v>
      </c>
      <c r="D28">
        <v>2</v>
      </c>
      <c r="E28">
        <v>2</v>
      </c>
      <c r="F28">
        <v>2</v>
      </c>
      <c r="G28">
        <v>11</v>
      </c>
      <c r="H28">
        <f t="shared" si="1"/>
        <v>2.2000000000000002</v>
      </c>
      <c r="I28" s="3">
        <f t="shared" si="2"/>
        <v>3.5489698231009363</v>
      </c>
      <c r="J28" s="3">
        <f t="shared" si="3"/>
        <v>3.5489698231009363</v>
      </c>
      <c r="K28" s="3">
        <f t="shared" si="3"/>
        <v>1.3485952133194607E-2</v>
      </c>
      <c r="L28" s="3">
        <f t="shared" si="3"/>
        <v>3.5489698231009363</v>
      </c>
      <c r="M28" s="3">
        <f t="shared" si="4"/>
        <v>0.78122788761706541</v>
      </c>
    </row>
    <row r="29" spans="1:13" x14ac:dyDescent="0.2">
      <c r="A29" s="2">
        <v>30</v>
      </c>
      <c r="B29">
        <v>2</v>
      </c>
      <c r="C29">
        <v>3</v>
      </c>
      <c r="D29">
        <v>3</v>
      </c>
      <c r="E29">
        <v>2</v>
      </c>
      <c r="F29">
        <v>3</v>
      </c>
      <c r="G29">
        <v>13</v>
      </c>
      <c r="H29">
        <f t="shared" si="1"/>
        <v>2.6</v>
      </c>
      <c r="I29" s="3">
        <f t="shared" si="2"/>
        <v>1.2457440166493239</v>
      </c>
      <c r="J29" s="3">
        <f t="shared" si="3"/>
        <v>3.5489698231009363</v>
      </c>
      <c r="K29" s="3">
        <f t="shared" si="3"/>
        <v>0.78122788761706541</v>
      </c>
      <c r="L29" s="3">
        <f t="shared" si="3"/>
        <v>0.78122788761706541</v>
      </c>
      <c r="M29" s="3">
        <f t="shared" si="4"/>
        <v>0.78122788761706541</v>
      </c>
    </row>
    <row r="30" spans="1:13" x14ac:dyDescent="0.2">
      <c r="A30" s="2">
        <v>31</v>
      </c>
      <c r="B30">
        <v>2</v>
      </c>
      <c r="C30">
        <v>2</v>
      </c>
      <c r="D30">
        <v>3</v>
      </c>
      <c r="E30">
        <v>3</v>
      </c>
      <c r="F30">
        <v>1</v>
      </c>
      <c r="G30">
        <v>11</v>
      </c>
      <c r="H30">
        <f t="shared" si="1"/>
        <v>2.2000000000000002</v>
      </c>
      <c r="I30" s="3">
        <f t="shared" si="2"/>
        <v>0.78122788761706541</v>
      </c>
      <c r="J30" s="3">
        <f t="shared" si="3"/>
        <v>1.3485952133194607E-2</v>
      </c>
      <c r="K30" s="3">
        <f t="shared" si="3"/>
        <v>1.3485952133194607E-2</v>
      </c>
      <c r="L30" s="3">
        <f t="shared" si="3"/>
        <v>0.78122788761706541</v>
      </c>
      <c r="M30" s="3">
        <f t="shared" si="4"/>
        <v>1.3485952133194607E-2</v>
      </c>
    </row>
    <row r="31" spans="1:13" x14ac:dyDescent="0.2">
      <c r="A31" s="2">
        <v>34</v>
      </c>
      <c r="B31">
        <v>5</v>
      </c>
      <c r="C31">
        <v>5</v>
      </c>
      <c r="D31">
        <v>5</v>
      </c>
      <c r="E31">
        <v>5</v>
      </c>
      <c r="F31">
        <v>5</v>
      </c>
      <c r="G31">
        <v>25</v>
      </c>
      <c r="H31">
        <f t="shared" si="1"/>
        <v>5</v>
      </c>
      <c r="I31" s="3">
        <f t="shared" si="2"/>
        <v>0.78122788761706541</v>
      </c>
      <c r="J31" s="3">
        <f t="shared" si="3"/>
        <v>0.78122788761706541</v>
      </c>
      <c r="K31" s="3">
        <f t="shared" si="3"/>
        <v>1.3485952133194607E-2</v>
      </c>
      <c r="L31" s="3">
        <f t="shared" si="3"/>
        <v>1.3485952133194607E-2</v>
      </c>
      <c r="M31" s="3">
        <f t="shared" si="4"/>
        <v>3.5489698231009363</v>
      </c>
    </row>
    <row r="32" spans="1:13" x14ac:dyDescent="0.2">
      <c r="A32" s="2">
        <v>35</v>
      </c>
      <c r="B32">
        <v>3</v>
      </c>
      <c r="C32">
        <v>3</v>
      </c>
      <c r="D32">
        <v>2</v>
      </c>
      <c r="E32">
        <v>3</v>
      </c>
      <c r="F32">
        <v>2</v>
      </c>
      <c r="G32">
        <v>13</v>
      </c>
      <c r="H32">
        <f t="shared" si="1"/>
        <v>2.6</v>
      </c>
      <c r="I32" s="3">
        <f t="shared" si="2"/>
        <v>4.4780020811654531</v>
      </c>
      <c r="J32" s="3">
        <f t="shared" si="3"/>
        <v>4.4780020811654531</v>
      </c>
      <c r="K32" s="3">
        <f t="shared" si="3"/>
        <v>4.4780020811654531</v>
      </c>
      <c r="L32" s="3">
        <f t="shared" si="3"/>
        <v>4.4780020811654531</v>
      </c>
      <c r="M32" s="3">
        <f t="shared" si="4"/>
        <v>4.4780020811654531</v>
      </c>
    </row>
    <row r="33" spans="1:14" x14ac:dyDescent="0.2">
      <c r="A33" s="2">
        <v>36</v>
      </c>
      <c r="B33">
        <v>2</v>
      </c>
      <c r="C33">
        <v>4</v>
      </c>
      <c r="D33">
        <v>4</v>
      </c>
      <c r="E33">
        <v>3</v>
      </c>
      <c r="F33">
        <v>3</v>
      </c>
      <c r="G33">
        <v>16</v>
      </c>
      <c r="H33">
        <f t="shared" si="1"/>
        <v>3.2</v>
      </c>
      <c r="I33" s="3">
        <f t="shared" si="2"/>
        <v>1.3485952133194607E-2</v>
      </c>
      <c r="J33" s="3">
        <f t="shared" si="3"/>
        <v>1.3485952133194607E-2</v>
      </c>
      <c r="K33" s="3">
        <f t="shared" si="3"/>
        <v>0.78122788761706541</v>
      </c>
      <c r="L33" s="3">
        <f t="shared" si="3"/>
        <v>1.3485952133194607E-2</v>
      </c>
      <c r="M33" s="3">
        <f t="shared" si="4"/>
        <v>0.78122788761706541</v>
      </c>
    </row>
    <row r="34" spans="1:14" x14ac:dyDescent="0.2">
      <c r="A34" s="2">
        <v>37</v>
      </c>
      <c r="B34">
        <v>3</v>
      </c>
      <c r="C34">
        <v>3</v>
      </c>
      <c r="D34">
        <v>4</v>
      </c>
      <c r="E34">
        <v>4</v>
      </c>
      <c r="F34">
        <v>3</v>
      </c>
      <c r="G34">
        <v>17</v>
      </c>
      <c r="H34">
        <f t="shared" si="1"/>
        <v>3.4</v>
      </c>
      <c r="I34" s="3">
        <f t="shared" si="2"/>
        <v>0.78122788761706541</v>
      </c>
      <c r="J34" s="3">
        <f t="shared" si="3"/>
        <v>1.2457440166493239</v>
      </c>
      <c r="K34" s="3">
        <f t="shared" si="3"/>
        <v>1.2457440166493239</v>
      </c>
      <c r="L34" s="3">
        <f t="shared" si="3"/>
        <v>1.3485952133194607E-2</v>
      </c>
      <c r="M34" s="3">
        <f t="shared" si="4"/>
        <v>1.3485952133194607E-2</v>
      </c>
    </row>
    <row r="35" spans="1:14" x14ac:dyDescent="0.2">
      <c r="A35" s="2">
        <v>38</v>
      </c>
      <c r="B35">
        <v>4</v>
      </c>
      <c r="C35">
        <v>3</v>
      </c>
      <c r="D35">
        <v>4</v>
      </c>
      <c r="E35">
        <v>4</v>
      </c>
      <c r="F35">
        <v>4</v>
      </c>
      <c r="G35">
        <v>19</v>
      </c>
      <c r="H35">
        <f t="shared" si="1"/>
        <v>3.8</v>
      </c>
      <c r="I35" s="3">
        <f t="shared" si="2"/>
        <v>1.3485952133194607E-2</v>
      </c>
      <c r="J35" s="3">
        <f t="shared" si="3"/>
        <v>1.3485952133194607E-2</v>
      </c>
      <c r="K35" s="3">
        <f t="shared" si="3"/>
        <v>1.2457440166493239</v>
      </c>
      <c r="L35" s="3">
        <f t="shared" si="3"/>
        <v>1.2457440166493239</v>
      </c>
      <c r="M35" s="3">
        <f t="shared" si="4"/>
        <v>1.3485952133194607E-2</v>
      </c>
    </row>
    <row r="36" spans="1:14" x14ac:dyDescent="0.2">
      <c r="A36" s="2" t="s">
        <v>10</v>
      </c>
      <c r="B36">
        <v>88</v>
      </c>
      <c r="C36">
        <v>89</v>
      </c>
      <c r="D36">
        <v>93</v>
      </c>
      <c r="E36">
        <v>85</v>
      </c>
      <c r="F36">
        <v>92</v>
      </c>
      <c r="G36">
        <v>447</v>
      </c>
    </row>
    <row r="37" spans="1:14" x14ac:dyDescent="0.2">
      <c r="A37" s="15" t="s">
        <v>15</v>
      </c>
      <c r="B37" s="3">
        <f>AVERAGE(B5:B35)</f>
        <v>2.838709677419355</v>
      </c>
      <c r="C37" s="3">
        <f>AVERAGE(C5:C35)</f>
        <v>2.870967741935484</v>
      </c>
      <c r="D37" s="3">
        <f t="shared" ref="D37:F37" si="5">AVERAGE(D5:D35)</f>
        <v>3</v>
      </c>
      <c r="E37" s="3">
        <f t="shared" si="5"/>
        <v>2.7419354838709675</v>
      </c>
      <c r="F37" s="3">
        <f t="shared" si="5"/>
        <v>2.967741935483871</v>
      </c>
      <c r="G37" s="16">
        <f>AVERAGE(B5:F35)</f>
        <v>2.8838709677419354</v>
      </c>
      <c r="H37" s="14" t="s">
        <v>19</v>
      </c>
    </row>
    <row r="38" spans="1:14" x14ac:dyDescent="0.2">
      <c r="A38" t="s">
        <v>16</v>
      </c>
      <c r="B38" s="3">
        <f>B37-$J$9</f>
        <v>1.5929656607700311</v>
      </c>
      <c r="C38" s="3">
        <f t="shared" ref="C38:F38" si="6">C37-$J$9</f>
        <v>1.6252237252861601</v>
      </c>
      <c r="D38" s="3">
        <f t="shared" si="6"/>
        <v>1.7542559833506761</v>
      </c>
      <c r="E38" s="3">
        <f t="shared" si="6"/>
        <v>1.4961914672216436</v>
      </c>
      <c r="F38" s="3">
        <f t="shared" si="6"/>
        <v>1.7219979188345471</v>
      </c>
    </row>
    <row r="39" spans="1:14" ht="17" x14ac:dyDescent="0.2">
      <c r="A39" s="2" t="s">
        <v>17</v>
      </c>
      <c r="B39" s="4" cm="1">
        <f t="array" ref="B39">SUMPRODUCT((B5:F35 - $G$37)^2)</f>
        <v>175.90967741935458</v>
      </c>
      <c r="N39" s="13"/>
    </row>
    <row r="40" spans="1:14" ht="17" x14ac:dyDescent="0.2">
      <c r="A40" s="2" t="s">
        <v>35</v>
      </c>
      <c r="B40" s="5" cm="1">
        <f t="array" ref="B40">SUMPRODUCT((B37:F37 - $G$37)^2) * ROWS(B5:B35)</f>
        <v>1.3290322580645177</v>
      </c>
      <c r="N40" s="13"/>
    </row>
    <row r="41" spans="1:14" ht="17" x14ac:dyDescent="0.2">
      <c r="A41" s="2" t="s">
        <v>18</v>
      </c>
      <c r="B41" s="5" cm="1">
        <f t="array" ref="B41">SUMPRODUCT((H5:H35 - $G$37)^2) * 5</f>
        <v>105.90967741935481</v>
      </c>
      <c r="N41" s="13"/>
    </row>
    <row r="42" spans="1:14" ht="17" x14ac:dyDescent="0.2">
      <c r="A42" s="2" t="s">
        <v>22</v>
      </c>
      <c r="B42" s="4">
        <f xml:space="preserve"> B39 - B40 - B41</f>
        <v>68.670967741935243</v>
      </c>
      <c r="N42" s="13"/>
    </row>
    <row r="43" spans="1:14" ht="17" x14ac:dyDescent="0.2">
      <c r="A43" s="2" t="s">
        <v>24</v>
      </c>
      <c r="B43" s="3">
        <f>(B40/B39)</f>
        <v>7.5551969485806699E-3</v>
      </c>
      <c r="N43" s="13"/>
    </row>
    <row r="44" spans="1:14" ht="17" x14ac:dyDescent="0.2">
      <c r="A44" t="s">
        <v>25</v>
      </c>
      <c r="B44" s="3">
        <f>(B42/B39)</f>
        <v>0.39037629281889452</v>
      </c>
      <c r="N44" s="13"/>
    </row>
    <row r="45" spans="1:14" ht="17" x14ac:dyDescent="0.2">
      <c r="N45" s="13"/>
    </row>
    <row r="46" spans="1:14" ht="17" x14ac:dyDescent="0.2">
      <c r="A46" t="s">
        <v>26</v>
      </c>
      <c r="N46" s="13"/>
    </row>
    <row r="47" spans="1:14" x14ac:dyDescent="0.2">
      <c r="A47" t="s">
        <v>27</v>
      </c>
      <c r="B47" s="18">
        <v>4</v>
      </c>
    </row>
    <row r="48" spans="1:14" x14ac:dyDescent="0.2">
      <c r="A48" t="s">
        <v>28</v>
      </c>
      <c r="B48">
        <v>30</v>
      </c>
    </row>
    <row r="49" spans="1:18" x14ac:dyDescent="0.2">
      <c r="A49" t="s">
        <v>29</v>
      </c>
      <c r="B49">
        <v>120</v>
      </c>
    </row>
    <row r="50" spans="1:18" x14ac:dyDescent="0.2">
      <c r="A50" t="s">
        <v>30</v>
      </c>
      <c r="B50" s="3">
        <f>B40/B47</f>
        <v>0.33225806451612944</v>
      </c>
    </row>
    <row r="51" spans="1:18" x14ac:dyDescent="0.2">
      <c r="A51" t="s">
        <v>31</v>
      </c>
      <c r="B51" s="3">
        <f>B42/B49</f>
        <v>0.57225806451612704</v>
      </c>
    </row>
    <row r="52" spans="1:18" x14ac:dyDescent="0.2">
      <c r="A52" t="s">
        <v>39</v>
      </c>
      <c r="B52" s="3">
        <f>B50/B51</f>
        <v>0.58060879368658669</v>
      </c>
    </row>
    <row r="53" spans="1:18" x14ac:dyDescent="0.2">
      <c r="A53" t="s">
        <v>40</v>
      </c>
      <c r="B53" s="3">
        <f>_xlfn.F.DIST.RT(B52,B47,B49)</f>
        <v>0.67725631610037595</v>
      </c>
    </row>
    <row r="55" spans="1:18" x14ac:dyDescent="0.2">
      <c r="A55" t="s">
        <v>32</v>
      </c>
      <c r="B55">
        <v>0.05</v>
      </c>
      <c r="P55" s="19"/>
      <c r="Q55" s="19"/>
      <c r="R55" s="19"/>
    </row>
    <row r="56" spans="1:18" ht="17" thickBot="1" x14ac:dyDescent="0.25">
      <c r="A56" s="8" t="s">
        <v>33</v>
      </c>
      <c r="C56" t="s">
        <v>37</v>
      </c>
      <c r="D56" t="b">
        <f>B52&gt;B57</f>
        <v>0</v>
      </c>
      <c r="E56" t="s">
        <v>38</v>
      </c>
      <c r="F56" t="b">
        <f>B53&lt;B55</f>
        <v>0</v>
      </c>
    </row>
    <row r="57" spans="1:18" ht="17" thickBot="1" x14ac:dyDescent="0.25">
      <c r="B57" s="8">
        <f>_xlfn.F.INV.RT(B55,B47,B49)</f>
        <v>2.4472365114692973</v>
      </c>
    </row>
    <row r="58" spans="1:18" x14ac:dyDescent="0.2">
      <c r="A58" t="s">
        <v>32</v>
      </c>
      <c r="B58">
        <v>0.04</v>
      </c>
      <c r="C58" t="s">
        <v>37</v>
      </c>
      <c r="D58" t="b">
        <f>B52&gt;B59</f>
        <v>0</v>
      </c>
      <c r="E58" t="s">
        <v>38</v>
      </c>
      <c r="F58" t="b">
        <f>B53&lt;B58</f>
        <v>0</v>
      </c>
    </row>
    <row r="59" spans="1:18" ht="17" thickBot="1" x14ac:dyDescent="0.25">
      <c r="A59" s="8" t="s">
        <v>33</v>
      </c>
      <c r="B59" s="8">
        <f>_xlfn.F.INV.RT($B$58,$B$47,B49)</f>
        <v>2.5917917892815714</v>
      </c>
    </row>
    <row r="61" spans="1:18" x14ac:dyDescent="0.2">
      <c r="A61" t="s">
        <v>32</v>
      </c>
      <c r="B61">
        <v>0.01</v>
      </c>
      <c r="C61" t="s">
        <v>37</v>
      </c>
      <c r="D61" t="b">
        <f>B55&gt;B62</f>
        <v>0</v>
      </c>
      <c r="E61" t="s">
        <v>38</v>
      </c>
      <c r="F61" t="b">
        <f>B57&lt;B61</f>
        <v>0</v>
      </c>
    </row>
    <row r="62" spans="1:18" ht="17" thickBot="1" x14ac:dyDescent="0.25">
      <c r="A62" s="8" t="s">
        <v>33</v>
      </c>
      <c r="B62" s="8">
        <f>_xlfn.F.INV.RT(B61,$B$47,$B$49)</f>
        <v>3.4795313895777449</v>
      </c>
    </row>
    <row r="64" spans="1:18" x14ac:dyDescent="0.2">
      <c r="A64" t="s">
        <v>32</v>
      </c>
      <c r="B64">
        <v>1E-3</v>
      </c>
      <c r="C64" t="s">
        <v>37</v>
      </c>
      <c r="D64" t="b">
        <f>B58&gt;B65</f>
        <v>0</v>
      </c>
      <c r="E64" t="s">
        <v>38</v>
      </c>
      <c r="F64" t="b">
        <f>B59&lt;B64</f>
        <v>0</v>
      </c>
    </row>
    <row r="65" spans="1:2" ht="17" thickBot="1" x14ac:dyDescent="0.25">
      <c r="A65" s="8" t="s">
        <v>33</v>
      </c>
      <c r="B65" s="8">
        <f>_xlfn.F.INV.RT(B64,$B$47,$B$49)</f>
        <v>4.9471541850494516</v>
      </c>
    </row>
  </sheetData>
  <mergeCells count="2">
    <mergeCell ref="A2:G2"/>
    <mergeCell ref="I4:M4"/>
  </mergeCells>
  <conditionalFormatting sqref="D61:D62">
    <cfRule type="containsText" dxfId="5" priority="3" operator="containsText" text="FALSE">
      <formula>NOT(ISERROR(SEARCH("FALSE",D61)))</formula>
    </cfRule>
    <cfRule type="cellIs" dxfId="4" priority="4" operator="equal">
      <formula>TRUE</formula>
    </cfRule>
  </conditionalFormatting>
  <conditionalFormatting sqref="D64:D65">
    <cfRule type="containsText" dxfId="3" priority="1" operator="containsText" text="FALSE">
      <formula>NOT(ISERROR(SEARCH("FALSE",D64)))</formula>
    </cfRule>
    <cfRule type="cellIs" dxfId="2" priority="2" operator="equal">
      <formula>TRUE</formula>
    </cfRule>
  </conditionalFormatting>
  <conditionalFormatting sqref="K54:K55 D54:D59 F56">
    <cfRule type="containsText" dxfId="1" priority="5" operator="containsText" text="FALSE">
      <formula>NOT(ISERROR(SEARCH("FALSE",D54)))</formula>
    </cfRule>
    <cfRule type="cellIs" dxfId="0" priority="6" operator="equal">
      <formula>TRUE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8D4C-9175-E447-9DB1-F296C8065A5D}">
  <dimension ref="A1:E156"/>
  <sheetViews>
    <sheetView workbookViewId="0">
      <selection activeCell="F3" sqref="F3"/>
    </sheetView>
  </sheetViews>
  <sheetFormatPr baseColWidth="10" defaultRowHeight="16" x14ac:dyDescent="0.2"/>
  <cols>
    <col min="1" max="1" width="15.5" bestFit="1" customWidth="1"/>
    <col min="2" max="2" width="10.1640625" bestFit="1" customWidth="1"/>
    <col min="3" max="3" width="14.33203125" bestFit="1" customWidth="1"/>
    <col min="4" max="4" width="47.1640625" bestFit="1" customWidth="1"/>
    <col min="5" max="5" width="36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>
        <v>10</v>
      </c>
      <c r="D2">
        <v>4</v>
      </c>
      <c r="E2">
        <v>1</v>
      </c>
    </row>
    <row r="3" spans="1:5" x14ac:dyDescent="0.2">
      <c r="A3">
        <v>1</v>
      </c>
      <c r="B3" t="s">
        <v>6</v>
      </c>
      <c r="C3">
        <v>3</v>
      </c>
      <c r="D3">
        <v>4</v>
      </c>
      <c r="E3">
        <v>1</v>
      </c>
    </row>
    <row r="4" spans="1:5" x14ac:dyDescent="0.2">
      <c r="A4">
        <v>1</v>
      </c>
      <c r="B4" t="s">
        <v>7</v>
      </c>
      <c r="C4">
        <v>6</v>
      </c>
      <c r="D4">
        <v>4</v>
      </c>
      <c r="E4">
        <v>1</v>
      </c>
    </row>
    <row r="5" spans="1:5" x14ac:dyDescent="0.2">
      <c r="A5">
        <v>1</v>
      </c>
      <c r="B5" t="s">
        <v>8</v>
      </c>
      <c r="C5">
        <v>5</v>
      </c>
      <c r="D5">
        <v>4</v>
      </c>
      <c r="E5">
        <v>1</v>
      </c>
    </row>
    <row r="6" spans="1:5" x14ac:dyDescent="0.2">
      <c r="A6">
        <v>1</v>
      </c>
      <c r="B6" t="s">
        <v>9</v>
      </c>
      <c r="C6">
        <v>2</v>
      </c>
      <c r="D6">
        <v>3</v>
      </c>
      <c r="E6">
        <v>1</v>
      </c>
    </row>
    <row r="7" spans="1:5" x14ac:dyDescent="0.2">
      <c r="A7">
        <v>5</v>
      </c>
      <c r="B7" t="s">
        <v>5</v>
      </c>
      <c r="C7">
        <v>4</v>
      </c>
      <c r="D7">
        <v>5</v>
      </c>
      <c r="E7">
        <v>1</v>
      </c>
    </row>
    <row r="8" spans="1:5" x14ac:dyDescent="0.2">
      <c r="A8">
        <v>5</v>
      </c>
      <c r="B8" t="s">
        <v>6</v>
      </c>
      <c r="C8">
        <v>7</v>
      </c>
      <c r="D8">
        <v>5</v>
      </c>
      <c r="E8">
        <v>1</v>
      </c>
    </row>
    <row r="9" spans="1:5" x14ac:dyDescent="0.2">
      <c r="A9">
        <v>5</v>
      </c>
      <c r="B9" t="s">
        <v>7</v>
      </c>
      <c r="C9">
        <v>6</v>
      </c>
      <c r="D9">
        <v>5</v>
      </c>
      <c r="E9">
        <v>2</v>
      </c>
    </row>
    <row r="10" spans="1:5" x14ac:dyDescent="0.2">
      <c r="A10">
        <v>5</v>
      </c>
      <c r="B10" t="s">
        <v>8</v>
      </c>
      <c r="C10">
        <v>2</v>
      </c>
      <c r="D10">
        <v>5</v>
      </c>
      <c r="E10">
        <v>2</v>
      </c>
    </row>
    <row r="11" spans="1:5" x14ac:dyDescent="0.2">
      <c r="A11">
        <v>5</v>
      </c>
      <c r="B11" t="s">
        <v>9</v>
      </c>
      <c r="C11">
        <v>3</v>
      </c>
      <c r="D11">
        <v>5</v>
      </c>
      <c r="E11">
        <v>2</v>
      </c>
    </row>
    <row r="12" spans="1:5" x14ac:dyDescent="0.2">
      <c r="A12">
        <v>6</v>
      </c>
      <c r="B12" t="s">
        <v>5</v>
      </c>
      <c r="C12">
        <v>10</v>
      </c>
      <c r="D12">
        <v>3</v>
      </c>
      <c r="E12">
        <v>3</v>
      </c>
    </row>
    <row r="13" spans="1:5" x14ac:dyDescent="0.2">
      <c r="A13">
        <v>6</v>
      </c>
      <c r="B13" t="s">
        <v>6</v>
      </c>
      <c r="C13">
        <v>4</v>
      </c>
      <c r="D13">
        <v>3</v>
      </c>
      <c r="E13">
        <v>3</v>
      </c>
    </row>
    <row r="14" spans="1:5" x14ac:dyDescent="0.2">
      <c r="A14">
        <v>6</v>
      </c>
      <c r="B14" t="s">
        <v>7</v>
      </c>
      <c r="C14">
        <v>1</v>
      </c>
      <c r="D14">
        <v>3</v>
      </c>
      <c r="E14">
        <v>2</v>
      </c>
    </row>
    <row r="15" spans="1:5" x14ac:dyDescent="0.2">
      <c r="A15">
        <v>6</v>
      </c>
      <c r="B15" t="s">
        <v>8</v>
      </c>
      <c r="C15">
        <v>8</v>
      </c>
      <c r="D15">
        <v>2</v>
      </c>
      <c r="E15">
        <v>2</v>
      </c>
    </row>
    <row r="16" spans="1:5" x14ac:dyDescent="0.2">
      <c r="A16">
        <v>6</v>
      </c>
      <c r="B16" t="s">
        <v>9</v>
      </c>
      <c r="C16">
        <v>6</v>
      </c>
      <c r="D16">
        <v>3</v>
      </c>
      <c r="E16">
        <v>4</v>
      </c>
    </row>
    <row r="17" spans="1:5" x14ac:dyDescent="0.2">
      <c r="A17">
        <v>7</v>
      </c>
      <c r="B17" t="s">
        <v>5</v>
      </c>
      <c r="C17">
        <v>4</v>
      </c>
      <c r="D17">
        <v>4</v>
      </c>
      <c r="E17">
        <v>2</v>
      </c>
    </row>
    <row r="18" spans="1:5" x14ac:dyDescent="0.2">
      <c r="A18">
        <v>7</v>
      </c>
      <c r="B18" t="s">
        <v>6</v>
      </c>
      <c r="C18">
        <v>3</v>
      </c>
      <c r="D18">
        <v>3</v>
      </c>
      <c r="E18">
        <v>2</v>
      </c>
    </row>
    <row r="19" spans="1:5" x14ac:dyDescent="0.2">
      <c r="A19">
        <v>7</v>
      </c>
      <c r="B19" t="s">
        <v>7</v>
      </c>
      <c r="C19">
        <v>7</v>
      </c>
      <c r="D19">
        <v>4</v>
      </c>
      <c r="E19">
        <v>4</v>
      </c>
    </row>
    <row r="20" spans="1:5" x14ac:dyDescent="0.2">
      <c r="A20">
        <v>7</v>
      </c>
      <c r="B20" t="s">
        <v>8</v>
      </c>
      <c r="C20">
        <v>8</v>
      </c>
      <c r="D20">
        <v>4</v>
      </c>
      <c r="E20">
        <v>3</v>
      </c>
    </row>
    <row r="21" spans="1:5" x14ac:dyDescent="0.2">
      <c r="A21">
        <v>7</v>
      </c>
      <c r="B21" t="s">
        <v>9</v>
      </c>
      <c r="C21">
        <v>5</v>
      </c>
      <c r="D21">
        <v>3</v>
      </c>
      <c r="E21">
        <v>3</v>
      </c>
    </row>
    <row r="22" spans="1:5" x14ac:dyDescent="0.2">
      <c r="A22">
        <v>8</v>
      </c>
      <c r="B22" t="s">
        <v>5</v>
      </c>
      <c r="C22">
        <v>2</v>
      </c>
      <c r="D22">
        <v>4</v>
      </c>
      <c r="E22">
        <v>3</v>
      </c>
    </row>
    <row r="23" spans="1:5" x14ac:dyDescent="0.2">
      <c r="A23">
        <v>8</v>
      </c>
      <c r="B23" t="s">
        <v>6</v>
      </c>
      <c r="C23">
        <v>3</v>
      </c>
      <c r="D23">
        <v>5</v>
      </c>
      <c r="E23">
        <v>3</v>
      </c>
    </row>
    <row r="24" spans="1:5" x14ac:dyDescent="0.2">
      <c r="A24">
        <v>8</v>
      </c>
      <c r="B24" t="s">
        <v>7</v>
      </c>
      <c r="C24">
        <v>1</v>
      </c>
      <c r="D24">
        <v>3</v>
      </c>
      <c r="E24">
        <v>3</v>
      </c>
    </row>
    <row r="25" spans="1:5" x14ac:dyDescent="0.2">
      <c r="A25">
        <v>8</v>
      </c>
      <c r="B25" t="s">
        <v>8</v>
      </c>
      <c r="C25">
        <v>6</v>
      </c>
      <c r="D25">
        <v>4</v>
      </c>
      <c r="E25">
        <v>3</v>
      </c>
    </row>
    <row r="26" spans="1:5" x14ac:dyDescent="0.2">
      <c r="A26">
        <v>8</v>
      </c>
      <c r="B26" t="s">
        <v>9</v>
      </c>
      <c r="C26">
        <v>4</v>
      </c>
      <c r="D26">
        <v>2</v>
      </c>
      <c r="E26">
        <v>2</v>
      </c>
    </row>
    <row r="27" spans="1:5" x14ac:dyDescent="0.2">
      <c r="A27">
        <v>9</v>
      </c>
      <c r="B27" t="s">
        <v>5</v>
      </c>
      <c r="C27">
        <v>1</v>
      </c>
      <c r="D27">
        <v>5</v>
      </c>
      <c r="E27">
        <v>4</v>
      </c>
    </row>
    <row r="28" spans="1:5" x14ac:dyDescent="0.2">
      <c r="A28">
        <v>9</v>
      </c>
      <c r="B28" t="s">
        <v>6</v>
      </c>
      <c r="C28">
        <v>6</v>
      </c>
      <c r="D28">
        <v>5</v>
      </c>
      <c r="E28">
        <v>4</v>
      </c>
    </row>
    <row r="29" spans="1:5" x14ac:dyDescent="0.2">
      <c r="A29">
        <v>9</v>
      </c>
      <c r="B29" t="s">
        <v>7</v>
      </c>
      <c r="C29">
        <v>4</v>
      </c>
      <c r="D29">
        <v>4</v>
      </c>
      <c r="E29">
        <v>3</v>
      </c>
    </row>
    <row r="30" spans="1:5" x14ac:dyDescent="0.2">
      <c r="A30">
        <v>9</v>
      </c>
      <c r="B30" t="s">
        <v>8</v>
      </c>
      <c r="C30">
        <v>5</v>
      </c>
      <c r="D30">
        <v>4</v>
      </c>
      <c r="E30">
        <v>3</v>
      </c>
    </row>
    <row r="31" spans="1:5" x14ac:dyDescent="0.2">
      <c r="A31">
        <v>9</v>
      </c>
      <c r="B31" t="s">
        <v>9</v>
      </c>
      <c r="C31">
        <v>2</v>
      </c>
      <c r="D31">
        <v>4</v>
      </c>
      <c r="E31">
        <v>2</v>
      </c>
    </row>
    <row r="32" spans="1:5" x14ac:dyDescent="0.2">
      <c r="A32">
        <v>10</v>
      </c>
      <c r="B32" t="s">
        <v>5</v>
      </c>
      <c r="C32">
        <v>9</v>
      </c>
      <c r="D32">
        <v>2</v>
      </c>
      <c r="E32">
        <v>3</v>
      </c>
    </row>
    <row r="33" spans="1:5" x14ac:dyDescent="0.2">
      <c r="A33">
        <v>10</v>
      </c>
      <c r="B33" t="s">
        <v>6</v>
      </c>
      <c r="C33">
        <v>2</v>
      </c>
      <c r="D33">
        <v>5</v>
      </c>
      <c r="E33">
        <v>4</v>
      </c>
    </row>
    <row r="34" spans="1:5" x14ac:dyDescent="0.2">
      <c r="A34">
        <v>10</v>
      </c>
      <c r="B34" t="s">
        <v>7</v>
      </c>
      <c r="C34">
        <v>7</v>
      </c>
      <c r="D34">
        <v>4</v>
      </c>
      <c r="E34">
        <v>4</v>
      </c>
    </row>
    <row r="35" spans="1:5" x14ac:dyDescent="0.2">
      <c r="A35">
        <v>10</v>
      </c>
      <c r="B35" t="s">
        <v>8</v>
      </c>
      <c r="C35">
        <v>8</v>
      </c>
      <c r="D35">
        <v>2</v>
      </c>
      <c r="E35">
        <v>2</v>
      </c>
    </row>
    <row r="36" spans="1:5" x14ac:dyDescent="0.2">
      <c r="A36">
        <v>10</v>
      </c>
      <c r="B36" t="s">
        <v>9</v>
      </c>
      <c r="C36">
        <v>1</v>
      </c>
      <c r="D36">
        <v>3</v>
      </c>
      <c r="E36">
        <v>2</v>
      </c>
    </row>
    <row r="37" spans="1:5" x14ac:dyDescent="0.2">
      <c r="A37">
        <v>12</v>
      </c>
      <c r="B37" t="s">
        <v>5</v>
      </c>
      <c r="C37">
        <v>3</v>
      </c>
      <c r="D37">
        <v>4</v>
      </c>
      <c r="E37">
        <v>3</v>
      </c>
    </row>
    <row r="38" spans="1:5" x14ac:dyDescent="0.2">
      <c r="A38">
        <v>12</v>
      </c>
      <c r="B38" t="s">
        <v>6</v>
      </c>
      <c r="C38">
        <v>4</v>
      </c>
      <c r="D38">
        <v>3</v>
      </c>
      <c r="E38">
        <v>2</v>
      </c>
    </row>
    <row r="39" spans="1:5" x14ac:dyDescent="0.2">
      <c r="A39">
        <v>12</v>
      </c>
      <c r="B39" t="s">
        <v>7</v>
      </c>
      <c r="C39">
        <v>1</v>
      </c>
      <c r="D39">
        <v>5</v>
      </c>
      <c r="E39">
        <v>4</v>
      </c>
    </row>
    <row r="40" spans="1:5" x14ac:dyDescent="0.2">
      <c r="A40">
        <v>12</v>
      </c>
      <c r="B40" t="s">
        <v>8</v>
      </c>
      <c r="C40">
        <v>5</v>
      </c>
      <c r="D40">
        <v>3</v>
      </c>
      <c r="E40">
        <v>3</v>
      </c>
    </row>
    <row r="41" spans="1:5" x14ac:dyDescent="0.2">
      <c r="A41">
        <v>12</v>
      </c>
      <c r="B41" t="s">
        <v>9</v>
      </c>
      <c r="C41">
        <v>2</v>
      </c>
      <c r="D41">
        <v>2</v>
      </c>
      <c r="E41">
        <v>2</v>
      </c>
    </row>
    <row r="42" spans="1:5" x14ac:dyDescent="0.2">
      <c r="A42">
        <v>13</v>
      </c>
      <c r="B42" t="s">
        <v>5</v>
      </c>
      <c r="C42">
        <v>3</v>
      </c>
      <c r="D42">
        <v>3</v>
      </c>
      <c r="E42">
        <v>2</v>
      </c>
    </row>
    <row r="43" spans="1:5" x14ac:dyDescent="0.2">
      <c r="A43">
        <v>13</v>
      </c>
      <c r="B43" t="s">
        <v>6</v>
      </c>
      <c r="C43">
        <v>5</v>
      </c>
      <c r="D43">
        <v>3</v>
      </c>
      <c r="E43">
        <v>2</v>
      </c>
    </row>
    <row r="44" spans="1:5" x14ac:dyDescent="0.2">
      <c r="A44">
        <v>13</v>
      </c>
      <c r="B44" t="s">
        <v>7</v>
      </c>
      <c r="C44">
        <v>4</v>
      </c>
      <c r="D44">
        <v>4</v>
      </c>
      <c r="E44">
        <v>3</v>
      </c>
    </row>
    <row r="45" spans="1:5" x14ac:dyDescent="0.2">
      <c r="A45">
        <v>13</v>
      </c>
      <c r="B45" t="s">
        <v>8</v>
      </c>
      <c r="C45">
        <v>1</v>
      </c>
      <c r="D45">
        <v>3</v>
      </c>
      <c r="E45">
        <v>3</v>
      </c>
    </row>
    <row r="46" spans="1:5" x14ac:dyDescent="0.2">
      <c r="A46">
        <v>13</v>
      </c>
      <c r="B46" t="s">
        <v>9</v>
      </c>
      <c r="C46">
        <v>2</v>
      </c>
      <c r="D46">
        <v>3</v>
      </c>
      <c r="E46">
        <v>2</v>
      </c>
    </row>
    <row r="47" spans="1:5" x14ac:dyDescent="0.2">
      <c r="A47">
        <v>14</v>
      </c>
      <c r="B47" t="s">
        <v>5</v>
      </c>
      <c r="C47">
        <v>2</v>
      </c>
      <c r="D47">
        <v>4</v>
      </c>
      <c r="E47">
        <v>4</v>
      </c>
    </row>
    <row r="48" spans="1:5" x14ac:dyDescent="0.2">
      <c r="A48">
        <v>14</v>
      </c>
      <c r="B48" t="s">
        <v>6</v>
      </c>
      <c r="C48">
        <v>1</v>
      </c>
      <c r="D48">
        <v>5</v>
      </c>
      <c r="E48">
        <v>5</v>
      </c>
    </row>
    <row r="49" spans="1:5" x14ac:dyDescent="0.2">
      <c r="A49">
        <v>14</v>
      </c>
      <c r="B49" t="s">
        <v>7</v>
      </c>
      <c r="C49">
        <v>4</v>
      </c>
      <c r="D49">
        <v>5</v>
      </c>
      <c r="E49">
        <v>3</v>
      </c>
    </row>
    <row r="50" spans="1:5" x14ac:dyDescent="0.2">
      <c r="A50">
        <v>14</v>
      </c>
      <c r="B50" t="s">
        <v>8</v>
      </c>
      <c r="C50">
        <v>5</v>
      </c>
      <c r="D50">
        <v>4</v>
      </c>
      <c r="E50">
        <v>4</v>
      </c>
    </row>
    <row r="51" spans="1:5" x14ac:dyDescent="0.2">
      <c r="A51">
        <v>14</v>
      </c>
      <c r="B51" t="s">
        <v>9</v>
      </c>
      <c r="C51">
        <v>3</v>
      </c>
      <c r="D51">
        <v>5</v>
      </c>
      <c r="E51">
        <v>4</v>
      </c>
    </row>
    <row r="52" spans="1:5" x14ac:dyDescent="0.2">
      <c r="A52">
        <v>15</v>
      </c>
      <c r="B52" t="s">
        <v>5</v>
      </c>
      <c r="C52">
        <v>4</v>
      </c>
      <c r="D52">
        <v>5</v>
      </c>
      <c r="E52">
        <v>4</v>
      </c>
    </row>
    <row r="53" spans="1:5" x14ac:dyDescent="0.2">
      <c r="A53">
        <v>15</v>
      </c>
      <c r="B53" t="s">
        <v>6</v>
      </c>
      <c r="C53">
        <v>3</v>
      </c>
      <c r="D53">
        <v>5</v>
      </c>
      <c r="E53">
        <v>4</v>
      </c>
    </row>
    <row r="54" spans="1:5" x14ac:dyDescent="0.2">
      <c r="A54">
        <v>15</v>
      </c>
      <c r="B54" t="s">
        <v>7</v>
      </c>
      <c r="C54">
        <v>5</v>
      </c>
      <c r="D54">
        <v>5</v>
      </c>
      <c r="E54">
        <v>4</v>
      </c>
    </row>
    <row r="55" spans="1:5" x14ac:dyDescent="0.2">
      <c r="A55">
        <v>15</v>
      </c>
      <c r="B55" t="s">
        <v>8</v>
      </c>
      <c r="C55">
        <v>2</v>
      </c>
      <c r="D55">
        <v>5</v>
      </c>
      <c r="E55">
        <v>3</v>
      </c>
    </row>
    <row r="56" spans="1:5" x14ac:dyDescent="0.2">
      <c r="A56">
        <v>15</v>
      </c>
      <c r="B56" t="s">
        <v>9</v>
      </c>
      <c r="C56">
        <v>8</v>
      </c>
      <c r="D56">
        <v>5</v>
      </c>
      <c r="E56">
        <v>4</v>
      </c>
    </row>
    <row r="57" spans="1:5" x14ac:dyDescent="0.2">
      <c r="A57">
        <v>16</v>
      </c>
      <c r="B57" t="s">
        <v>5</v>
      </c>
      <c r="C57">
        <v>5</v>
      </c>
      <c r="D57">
        <v>5</v>
      </c>
      <c r="E57">
        <v>2</v>
      </c>
    </row>
    <row r="58" spans="1:5" x14ac:dyDescent="0.2">
      <c r="A58">
        <v>16</v>
      </c>
      <c r="B58" t="s">
        <v>6</v>
      </c>
      <c r="C58">
        <v>4</v>
      </c>
      <c r="D58">
        <v>5</v>
      </c>
      <c r="E58">
        <v>3</v>
      </c>
    </row>
    <row r="59" spans="1:5" x14ac:dyDescent="0.2">
      <c r="A59">
        <v>16</v>
      </c>
      <c r="B59" t="s">
        <v>7</v>
      </c>
      <c r="C59">
        <v>2</v>
      </c>
      <c r="D59">
        <v>5</v>
      </c>
      <c r="E59">
        <v>2</v>
      </c>
    </row>
    <row r="60" spans="1:5" x14ac:dyDescent="0.2">
      <c r="A60">
        <v>16</v>
      </c>
      <c r="B60" t="s">
        <v>8</v>
      </c>
      <c r="C60">
        <v>3</v>
      </c>
      <c r="D60">
        <v>5</v>
      </c>
      <c r="E60">
        <v>4</v>
      </c>
    </row>
    <row r="61" spans="1:5" x14ac:dyDescent="0.2">
      <c r="A61">
        <v>16</v>
      </c>
      <c r="B61" t="s">
        <v>9</v>
      </c>
      <c r="C61">
        <v>1</v>
      </c>
      <c r="D61">
        <v>5</v>
      </c>
      <c r="E61">
        <v>4</v>
      </c>
    </row>
    <row r="62" spans="1:5" x14ac:dyDescent="0.2">
      <c r="A62">
        <v>17</v>
      </c>
      <c r="B62" t="s">
        <v>5</v>
      </c>
      <c r="C62">
        <v>4</v>
      </c>
      <c r="D62">
        <v>5</v>
      </c>
      <c r="E62">
        <v>2</v>
      </c>
    </row>
    <row r="63" spans="1:5" x14ac:dyDescent="0.2">
      <c r="A63">
        <v>17</v>
      </c>
      <c r="B63" t="s">
        <v>6</v>
      </c>
      <c r="C63">
        <v>1</v>
      </c>
      <c r="D63">
        <v>5</v>
      </c>
      <c r="E63">
        <v>2</v>
      </c>
    </row>
    <row r="64" spans="1:5" x14ac:dyDescent="0.2">
      <c r="A64">
        <v>17</v>
      </c>
      <c r="B64" t="s">
        <v>7</v>
      </c>
      <c r="C64">
        <v>2</v>
      </c>
      <c r="D64">
        <v>5</v>
      </c>
      <c r="E64">
        <v>2</v>
      </c>
    </row>
    <row r="65" spans="1:5" x14ac:dyDescent="0.2">
      <c r="A65">
        <v>17</v>
      </c>
      <c r="B65" t="s">
        <v>8</v>
      </c>
      <c r="C65">
        <v>7</v>
      </c>
      <c r="D65">
        <v>5</v>
      </c>
      <c r="E65">
        <v>4</v>
      </c>
    </row>
    <row r="66" spans="1:5" x14ac:dyDescent="0.2">
      <c r="A66">
        <v>17</v>
      </c>
      <c r="B66" t="s">
        <v>9</v>
      </c>
      <c r="C66">
        <v>3</v>
      </c>
      <c r="D66">
        <v>4</v>
      </c>
      <c r="E66">
        <v>1</v>
      </c>
    </row>
    <row r="67" spans="1:5" x14ac:dyDescent="0.2">
      <c r="A67">
        <v>18</v>
      </c>
      <c r="B67" t="s">
        <v>5</v>
      </c>
      <c r="C67">
        <v>6</v>
      </c>
      <c r="D67">
        <v>5</v>
      </c>
      <c r="E67">
        <v>2</v>
      </c>
    </row>
    <row r="68" spans="1:5" x14ac:dyDescent="0.2">
      <c r="A68">
        <v>18</v>
      </c>
      <c r="B68" t="s">
        <v>6</v>
      </c>
      <c r="C68">
        <v>2</v>
      </c>
      <c r="D68">
        <v>5</v>
      </c>
      <c r="E68">
        <v>3</v>
      </c>
    </row>
    <row r="69" spans="1:5" x14ac:dyDescent="0.2">
      <c r="A69">
        <v>18</v>
      </c>
      <c r="B69" t="s">
        <v>7</v>
      </c>
      <c r="C69">
        <v>5</v>
      </c>
      <c r="D69">
        <v>4</v>
      </c>
      <c r="E69">
        <v>2</v>
      </c>
    </row>
    <row r="70" spans="1:5" x14ac:dyDescent="0.2">
      <c r="A70">
        <v>18</v>
      </c>
      <c r="B70" t="s">
        <v>8</v>
      </c>
      <c r="C70">
        <v>3</v>
      </c>
      <c r="D70">
        <v>5</v>
      </c>
      <c r="E70">
        <v>2</v>
      </c>
    </row>
    <row r="71" spans="1:5" x14ac:dyDescent="0.2">
      <c r="A71">
        <v>18</v>
      </c>
      <c r="B71" t="s">
        <v>9</v>
      </c>
      <c r="C71">
        <v>1</v>
      </c>
      <c r="D71">
        <v>5</v>
      </c>
      <c r="E71">
        <v>3</v>
      </c>
    </row>
    <row r="72" spans="1:5" x14ac:dyDescent="0.2">
      <c r="A72">
        <v>19</v>
      </c>
      <c r="B72" t="s">
        <v>5</v>
      </c>
      <c r="C72">
        <v>5</v>
      </c>
      <c r="D72">
        <v>4</v>
      </c>
      <c r="E72">
        <v>2</v>
      </c>
    </row>
    <row r="73" spans="1:5" x14ac:dyDescent="0.2">
      <c r="A73">
        <v>19</v>
      </c>
      <c r="B73" t="s">
        <v>6</v>
      </c>
      <c r="C73">
        <v>3</v>
      </c>
      <c r="D73">
        <v>4</v>
      </c>
      <c r="E73">
        <v>3</v>
      </c>
    </row>
    <row r="74" spans="1:5" x14ac:dyDescent="0.2">
      <c r="A74">
        <v>19</v>
      </c>
      <c r="B74" t="s">
        <v>7</v>
      </c>
      <c r="C74">
        <v>4</v>
      </c>
      <c r="D74">
        <v>4</v>
      </c>
      <c r="E74">
        <v>3</v>
      </c>
    </row>
    <row r="75" spans="1:5" x14ac:dyDescent="0.2">
      <c r="A75">
        <v>19</v>
      </c>
      <c r="B75" t="s">
        <v>8</v>
      </c>
      <c r="C75">
        <v>1</v>
      </c>
      <c r="D75">
        <v>5</v>
      </c>
      <c r="E75">
        <v>3</v>
      </c>
    </row>
    <row r="76" spans="1:5" x14ac:dyDescent="0.2">
      <c r="A76">
        <v>19</v>
      </c>
      <c r="B76" t="s">
        <v>9</v>
      </c>
      <c r="C76">
        <v>7</v>
      </c>
      <c r="D76">
        <v>3</v>
      </c>
      <c r="E76">
        <v>2</v>
      </c>
    </row>
    <row r="77" spans="1:5" x14ac:dyDescent="0.2">
      <c r="A77">
        <v>20</v>
      </c>
      <c r="B77" t="s">
        <v>5</v>
      </c>
      <c r="C77">
        <v>5</v>
      </c>
      <c r="D77">
        <v>4</v>
      </c>
      <c r="E77">
        <v>3</v>
      </c>
    </row>
    <row r="78" spans="1:5" x14ac:dyDescent="0.2">
      <c r="A78">
        <v>20</v>
      </c>
      <c r="B78" t="s">
        <v>6</v>
      </c>
      <c r="C78">
        <v>4</v>
      </c>
      <c r="D78">
        <v>5</v>
      </c>
      <c r="E78">
        <v>3</v>
      </c>
    </row>
    <row r="79" spans="1:5" x14ac:dyDescent="0.2">
      <c r="A79">
        <v>20</v>
      </c>
      <c r="B79" t="s">
        <v>7</v>
      </c>
      <c r="C79">
        <v>3</v>
      </c>
      <c r="D79">
        <v>4</v>
      </c>
      <c r="E79">
        <v>3</v>
      </c>
    </row>
    <row r="80" spans="1:5" x14ac:dyDescent="0.2">
      <c r="A80">
        <v>20</v>
      </c>
      <c r="B80" t="s">
        <v>8</v>
      </c>
      <c r="C80">
        <v>7</v>
      </c>
      <c r="D80">
        <v>4</v>
      </c>
      <c r="E80">
        <v>3</v>
      </c>
    </row>
    <row r="81" spans="1:5" x14ac:dyDescent="0.2">
      <c r="A81">
        <v>20</v>
      </c>
      <c r="B81" t="s">
        <v>9</v>
      </c>
      <c r="C81">
        <v>6</v>
      </c>
      <c r="D81">
        <v>4</v>
      </c>
      <c r="E81">
        <v>3</v>
      </c>
    </row>
    <row r="82" spans="1:5" x14ac:dyDescent="0.2">
      <c r="A82">
        <v>21</v>
      </c>
      <c r="B82" t="s">
        <v>5</v>
      </c>
      <c r="C82">
        <v>9</v>
      </c>
      <c r="D82">
        <v>5</v>
      </c>
      <c r="E82">
        <v>3</v>
      </c>
    </row>
    <row r="83" spans="1:5" x14ac:dyDescent="0.2">
      <c r="A83">
        <v>21</v>
      </c>
      <c r="B83" t="s">
        <v>6</v>
      </c>
      <c r="C83">
        <v>7</v>
      </c>
      <c r="D83">
        <v>5</v>
      </c>
      <c r="E83">
        <v>4</v>
      </c>
    </row>
    <row r="84" spans="1:5" x14ac:dyDescent="0.2">
      <c r="A84">
        <v>21</v>
      </c>
      <c r="B84" t="s">
        <v>7</v>
      </c>
      <c r="C84">
        <v>6</v>
      </c>
      <c r="D84">
        <v>3</v>
      </c>
      <c r="E84">
        <v>2</v>
      </c>
    </row>
    <row r="85" spans="1:5" x14ac:dyDescent="0.2">
      <c r="A85">
        <v>21</v>
      </c>
      <c r="B85" t="s">
        <v>8</v>
      </c>
      <c r="C85">
        <v>5</v>
      </c>
      <c r="D85">
        <v>3</v>
      </c>
      <c r="E85">
        <v>2</v>
      </c>
    </row>
    <row r="86" spans="1:5" x14ac:dyDescent="0.2">
      <c r="A86">
        <v>21</v>
      </c>
      <c r="B86" t="s">
        <v>9</v>
      </c>
      <c r="C86">
        <v>4</v>
      </c>
      <c r="D86">
        <v>5</v>
      </c>
      <c r="E86">
        <v>4</v>
      </c>
    </row>
    <row r="87" spans="1:5" x14ac:dyDescent="0.2">
      <c r="A87">
        <v>22</v>
      </c>
      <c r="B87" t="s">
        <v>5</v>
      </c>
      <c r="C87">
        <v>7</v>
      </c>
      <c r="D87">
        <v>5</v>
      </c>
      <c r="E87">
        <v>4</v>
      </c>
    </row>
    <row r="88" spans="1:5" x14ac:dyDescent="0.2">
      <c r="A88">
        <v>22</v>
      </c>
      <c r="B88" t="s">
        <v>6</v>
      </c>
      <c r="C88">
        <v>8</v>
      </c>
      <c r="D88">
        <v>5</v>
      </c>
      <c r="E88">
        <v>4</v>
      </c>
    </row>
    <row r="89" spans="1:5" x14ac:dyDescent="0.2">
      <c r="A89">
        <v>22</v>
      </c>
      <c r="B89" t="s">
        <v>7</v>
      </c>
      <c r="C89">
        <v>13</v>
      </c>
      <c r="D89">
        <v>5</v>
      </c>
      <c r="E89">
        <v>5</v>
      </c>
    </row>
    <row r="90" spans="1:5" x14ac:dyDescent="0.2">
      <c r="A90">
        <v>22</v>
      </c>
      <c r="B90" t="s">
        <v>8</v>
      </c>
      <c r="C90">
        <v>4</v>
      </c>
      <c r="D90">
        <v>5</v>
      </c>
      <c r="E90">
        <v>4</v>
      </c>
    </row>
    <row r="91" spans="1:5" x14ac:dyDescent="0.2">
      <c r="A91">
        <v>22</v>
      </c>
      <c r="B91" t="s">
        <v>9</v>
      </c>
      <c r="C91">
        <v>6</v>
      </c>
      <c r="D91">
        <v>4</v>
      </c>
      <c r="E91">
        <v>4</v>
      </c>
    </row>
    <row r="92" spans="1:5" x14ac:dyDescent="0.2">
      <c r="A92">
        <v>24</v>
      </c>
      <c r="B92" t="s">
        <v>5</v>
      </c>
      <c r="C92">
        <v>6</v>
      </c>
      <c r="D92">
        <v>5</v>
      </c>
      <c r="E92">
        <v>5</v>
      </c>
    </row>
    <row r="93" spans="1:5" x14ac:dyDescent="0.2">
      <c r="A93">
        <v>24</v>
      </c>
      <c r="B93" t="s">
        <v>6</v>
      </c>
      <c r="C93">
        <v>5</v>
      </c>
      <c r="D93">
        <v>5</v>
      </c>
      <c r="E93">
        <v>5</v>
      </c>
    </row>
    <row r="94" spans="1:5" x14ac:dyDescent="0.2">
      <c r="A94">
        <v>24</v>
      </c>
      <c r="B94" t="s">
        <v>7</v>
      </c>
      <c r="C94">
        <v>7</v>
      </c>
      <c r="D94">
        <v>5</v>
      </c>
      <c r="E94">
        <v>4</v>
      </c>
    </row>
    <row r="95" spans="1:5" x14ac:dyDescent="0.2">
      <c r="A95">
        <v>24</v>
      </c>
      <c r="B95" t="s">
        <v>8</v>
      </c>
      <c r="C95">
        <v>4</v>
      </c>
      <c r="D95">
        <v>4</v>
      </c>
      <c r="E95">
        <v>4</v>
      </c>
    </row>
    <row r="96" spans="1:5" x14ac:dyDescent="0.2">
      <c r="A96">
        <v>24</v>
      </c>
      <c r="B96" t="s">
        <v>9</v>
      </c>
      <c r="C96">
        <v>3</v>
      </c>
      <c r="D96">
        <v>5</v>
      </c>
      <c r="E96">
        <v>4</v>
      </c>
    </row>
    <row r="97" spans="1:5" x14ac:dyDescent="0.2">
      <c r="A97">
        <v>25</v>
      </c>
      <c r="B97" t="s">
        <v>5</v>
      </c>
      <c r="C97">
        <v>2</v>
      </c>
      <c r="D97">
        <v>4</v>
      </c>
      <c r="E97">
        <v>4</v>
      </c>
    </row>
    <row r="98" spans="1:5" x14ac:dyDescent="0.2">
      <c r="A98">
        <v>25</v>
      </c>
      <c r="B98" t="s">
        <v>6</v>
      </c>
      <c r="C98">
        <v>1</v>
      </c>
      <c r="D98">
        <v>4</v>
      </c>
      <c r="E98">
        <v>4</v>
      </c>
    </row>
    <row r="99" spans="1:5" x14ac:dyDescent="0.2">
      <c r="A99">
        <v>25</v>
      </c>
      <c r="B99" t="s">
        <v>7</v>
      </c>
      <c r="C99">
        <v>6</v>
      </c>
      <c r="D99">
        <v>3</v>
      </c>
      <c r="E99">
        <v>2</v>
      </c>
    </row>
    <row r="100" spans="1:5" x14ac:dyDescent="0.2">
      <c r="A100">
        <v>25</v>
      </c>
      <c r="B100" t="s">
        <v>8</v>
      </c>
      <c r="C100">
        <v>3</v>
      </c>
      <c r="D100">
        <v>3</v>
      </c>
      <c r="E100">
        <v>2</v>
      </c>
    </row>
    <row r="101" spans="1:5" x14ac:dyDescent="0.2">
      <c r="A101">
        <v>25</v>
      </c>
      <c r="B101" t="s">
        <v>9</v>
      </c>
      <c r="C101">
        <v>5</v>
      </c>
      <c r="D101">
        <v>3</v>
      </c>
      <c r="E101">
        <v>1</v>
      </c>
    </row>
    <row r="102" spans="1:5" x14ac:dyDescent="0.2">
      <c r="A102">
        <v>26</v>
      </c>
      <c r="B102" t="s">
        <v>5</v>
      </c>
      <c r="C102">
        <v>7</v>
      </c>
      <c r="D102">
        <v>3</v>
      </c>
      <c r="E102">
        <v>3</v>
      </c>
    </row>
    <row r="103" spans="1:5" x14ac:dyDescent="0.2">
      <c r="A103">
        <v>26</v>
      </c>
      <c r="B103" t="s">
        <v>6</v>
      </c>
      <c r="C103">
        <v>10</v>
      </c>
      <c r="D103">
        <v>3</v>
      </c>
      <c r="E103">
        <v>2</v>
      </c>
    </row>
    <row r="104" spans="1:5" x14ac:dyDescent="0.2">
      <c r="A104">
        <v>26</v>
      </c>
      <c r="B104" t="s">
        <v>7</v>
      </c>
      <c r="C104">
        <v>5</v>
      </c>
      <c r="D104">
        <v>4</v>
      </c>
      <c r="E104">
        <v>3</v>
      </c>
    </row>
    <row r="105" spans="1:5" x14ac:dyDescent="0.2">
      <c r="A105">
        <v>26</v>
      </c>
      <c r="B105" t="s">
        <v>8</v>
      </c>
      <c r="C105">
        <v>8</v>
      </c>
      <c r="D105">
        <v>4</v>
      </c>
      <c r="E105">
        <v>2</v>
      </c>
    </row>
    <row r="106" spans="1:5" x14ac:dyDescent="0.2">
      <c r="A106">
        <v>26</v>
      </c>
      <c r="B106" t="s">
        <v>9</v>
      </c>
      <c r="C106">
        <v>2</v>
      </c>
      <c r="D106">
        <v>3</v>
      </c>
      <c r="E106">
        <v>3</v>
      </c>
    </row>
    <row r="107" spans="1:5" x14ac:dyDescent="0.2">
      <c r="A107">
        <v>27</v>
      </c>
      <c r="B107" t="s">
        <v>5</v>
      </c>
      <c r="C107">
        <v>5</v>
      </c>
      <c r="D107">
        <v>5</v>
      </c>
      <c r="E107">
        <v>2</v>
      </c>
    </row>
    <row r="108" spans="1:5" x14ac:dyDescent="0.2">
      <c r="A108">
        <v>27</v>
      </c>
      <c r="B108" t="s">
        <v>6</v>
      </c>
      <c r="C108">
        <v>2</v>
      </c>
      <c r="D108">
        <v>4</v>
      </c>
      <c r="E108">
        <v>3</v>
      </c>
    </row>
    <row r="109" spans="1:5" x14ac:dyDescent="0.2">
      <c r="A109">
        <v>27</v>
      </c>
      <c r="B109" t="s">
        <v>7</v>
      </c>
      <c r="C109">
        <v>1</v>
      </c>
      <c r="D109">
        <v>4</v>
      </c>
      <c r="E109">
        <v>3</v>
      </c>
    </row>
    <row r="110" spans="1:5" x14ac:dyDescent="0.2">
      <c r="A110">
        <v>27</v>
      </c>
      <c r="B110" t="s">
        <v>8</v>
      </c>
      <c r="C110">
        <v>4</v>
      </c>
      <c r="D110">
        <v>5</v>
      </c>
      <c r="E110">
        <v>4</v>
      </c>
    </row>
    <row r="111" spans="1:5" x14ac:dyDescent="0.2">
      <c r="A111">
        <v>27</v>
      </c>
      <c r="B111" t="s">
        <v>9</v>
      </c>
      <c r="C111">
        <v>6</v>
      </c>
      <c r="D111">
        <v>2</v>
      </c>
      <c r="E111">
        <v>1</v>
      </c>
    </row>
    <row r="112" spans="1:5" x14ac:dyDescent="0.2">
      <c r="A112">
        <v>28</v>
      </c>
      <c r="B112" t="s">
        <v>5</v>
      </c>
      <c r="C112">
        <v>4</v>
      </c>
      <c r="D112">
        <v>4</v>
      </c>
      <c r="E112">
        <v>1</v>
      </c>
    </row>
    <row r="113" spans="1:5" x14ac:dyDescent="0.2">
      <c r="A113">
        <v>28</v>
      </c>
      <c r="B113" t="s">
        <v>6</v>
      </c>
      <c r="C113">
        <v>1</v>
      </c>
      <c r="D113">
        <v>4</v>
      </c>
      <c r="E113">
        <v>2</v>
      </c>
    </row>
    <row r="114" spans="1:5" x14ac:dyDescent="0.2">
      <c r="A114">
        <v>28</v>
      </c>
      <c r="B114" t="s">
        <v>7</v>
      </c>
      <c r="C114">
        <v>6</v>
      </c>
      <c r="D114">
        <v>4</v>
      </c>
      <c r="E114">
        <v>1</v>
      </c>
    </row>
    <row r="115" spans="1:5" x14ac:dyDescent="0.2">
      <c r="A115">
        <v>28</v>
      </c>
      <c r="B115" t="s">
        <v>8</v>
      </c>
      <c r="C115">
        <v>3</v>
      </c>
      <c r="D115">
        <v>5</v>
      </c>
      <c r="E115">
        <v>3</v>
      </c>
    </row>
    <row r="116" spans="1:5" x14ac:dyDescent="0.2">
      <c r="A116">
        <v>28</v>
      </c>
      <c r="B116" t="s">
        <v>9</v>
      </c>
      <c r="C116">
        <v>2</v>
      </c>
      <c r="D116">
        <v>3</v>
      </c>
      <c r="E116">
        <v>1</v>
      </c>
    </row>
    <row r="117" spans="1:5" x14ac:dyDescent="0.2">
      <c r="A117">
        <v>29</v>
      </c>
      <c r="B117" t="s">
        <v>5</v>
      </c>
      <c r="C117">
        <v>1</v>
      </c>
      <c r="D117">
        <v>5</v>
      </c>
      <c r="E117">
        <v>4</v>
      </c>
    </row>
    <row r="118" spans="1:5" x14ac:dyDescent="0.2">
      <c r="A118">
        <v>29</v>
      </c>
      <c r="B118" t="s">
        <v>6</v>
      </c>
      <c r="C118">
        <v>2</v>
      </c>
      <c r="D118">
        <v>5</v>
      </c>
      <c r="E118">
        <v>2</v>
      </c>
    </row>
    <row r="119" spans="1:5" x14ac:dyDescent="0.2">
      <c r="A119">
        <v>29</v>
      </c>
      <c r="B119" t="s">
        <v>7</v>
      </c>
      <c r="C119">
        <v>3</v>
      </c>
      <c r="D119">
        <v>4</v>
      </c>
      <c r="E119">
        <v>1</v>
      </c>
    </row>
    <row r="120" spans="1:5" x14ac:dyDescent="0.2">
      <c r="A120">
        <v>29</v>
      </c>
      <c r="B120" t="s">
        <v>8</v>
      </c>
      <c r="C120">
        <v>4</v>
      </c>
      <c r="D120">
        <v>4</v>
      </c>
      <c r="E120">
        <v>2</v>
      </c>
    </row>
    <row r="121" spans="1:5" x14ac:dyDescent="0.2">
      <c r="A121">
        <v>29</v>
      </c>
      <c r="B121" t="s">
        <v>9</v>
      </c>
      <c r="C121">
        <v>6</v>
      </c>
      <c r="D121">
        <v>4</v>
      </c>
      <c r="E121">
        <v>2</v>
      </c>
    </row>
    <row r="122" spans="1:5" x14ac:dyDescent="0.2">
      <c r="A122">
        <v>30</v>
      </c>
      <c r="B122" t="s">
        <v>5</v>
      </c>
      <c r="C122">
        <v>1</v>
      </c>
      <c r="D122">
        <v>4</v>
      </c>
      <c r="E122">
        <v>2</v>
      </c>
    </row>
    <row r="123" spans="1:5" x14ac:dyDescent="0.2">
      <c r="A123">
        <v>30</v>
      </c>
      <c r="B123" t="s">
        <v>6</v>
      </c>
      <c r="C123">
        <v>4</v>
      </c>
      <c r="D123">
        <v>3</v>
      </c>
      <c r="E123">
        <v>3</v>
      </c>
    </row>
    <row r="124" spans="1:5" x14ac:dyDescent="0.2">
      <c r="A124">
        <v>30</v>
      </c>
      <c r="B124" t="s">
        <v>7</v>
      </c>
      <c r="C124">
        <v>2</v>
      </c>
      <c r="D124">
        <v>3</v>
      </c>
      <c r="E124">
        <v>3</v>
      </c>
    </row>
    <row r="125" spans="1:5" x14ac:dyDescent="0.2">
      <c r="A125">
        <v>30</v>
      </c>
      <c r="B125" t="s">
        <v>8</v>
      </c>
      <c r="C125">
        <v>3</v>
      </c>
      <c r="D125">
        <v>4</v>
      </c>
      <c r="E125">
        <v>3</v>
      </c>
    </row>
    <row r="126" spans="1:5" x14ac:dyDescent="0.2">
      <c r="A126">
        <v>30</v>
      </c>
      <c r="B126" t="s">
        <v>9</v>
      </c>
      <c r="C126">
        <v>5</v>
      </c>
      <c r="D126">
        <v>3</v>
      </c>
      <c r="E126">
        <v>2</v>
      </c>
    </row>
    <row r="127" spans="1:5" x14ac:dyDescent="0.2">
      <c r="A127">
        <v>31</v>
      </c>
      <c r="B127" t="s">
        <v>5</v>
      </c>
      <c r="C127">
        <v>6</v>
      </c>
      <c r="D127">
        <v>4</v>
      </c>
      <c r="E127">
        <v>2</v>
      </c>
    </row>
    <row r="128" spans="1:5" x14ac:dyDescent="0.2">
      <c r="A128">
        <v>31</v>
      </c>
      <c r="B128" t="s">
        <v>6</v>
      </c>
      <c r="C128">
        <v>2</v>
      </c>
      <c r="D128">
        <v>2</v>
      </c>
      <c r="E128">
        <v>1</v>
      </c>
    </row>
    <row r="129" spans="1:5" x14ac:dyDescent="0.2">
      <c r="A129">
        <v>31</v>
      </c>
      <c r="B129" t="s">
        <v>7</v>
      </c>
      <c r="C129">
        <v>7</v>
      </c>
      <c r="D129">
        <v>4</v>
      </c>
      <c r="E129">
        <v>2</v>
      </c>
    </row>
    <row r="130" spans="1:5" x14ac:dyDescent="0.2">
      <c r="A130">
        <v>31</v>
      </c>
      <c r="B130" t="s">
        <v>8</v>
      </c>
      <c r="C130">
        <v>4</v>
      </c>
      <c r="D130">
        <v>4</v>
      </c>
      <c r="E130">
        <v>3</v>
      </c>
    </row>
    <row r="131" spans="1:5" x14ac:dyDescent="0.2">
      <c r="A131">
        <v>31</v>
      </c>
      <c r="B131" t="s">
        <v>9</v>
      </c>
      <c r="C131">
        <v>5</v>
      </c>
      <c r="D131">
        <v>4</v>
      </c>
      <c r="E131">
        <v>3</v>
      </c>
    </row>
    <row r="132" spans="1:5" x14ac:dyDescent="0.2">
      <c r="A132">
        <v>34</v>
      </c>
      <c r="B132" t="s">
        <v>5</v>
      </c>
      <c r="C132">
        <v>5</v>
      </c>
      <c r="D132">
        <v>4</v>
      </c>
      <c r="E132">
        <v>5</v>
      </c>
    </row>
    <row r="133" spans="1:5" x14ac:dyDescent="0.2">
      <c r="A133">
        <v>34</v>
      </c>
      <c r="B133" t="s">
        <v>6</v>
      </c>
      <c r="C133">
        <v>4</v>
      </c>
      <c r="D133">
        <v>4</v>
      </c>
      <c r="E133">
        <v>5</v>
      </c>
    </row>
    <row r="134" spans="1:5" x14ac:dyDescent="0.2">
      <c r="A134">
        <v>34</v>
      </c>
      <c r="B134" t="s">
        <v>7</v>
      </c>
      <c r="C134">
        <v>1</v>
      </c>
      <c r="D134">
        <v>5</v>
      </c>
      <c r="E134">
        <v>5</v>
      </c>
    </row>
    <row r="135" spans="1:5" x14ac:dyDescent="0.2">
      <c r="A135">
        <v>34</v>
      </c>
      <c r="B135" t="s">
        <v>8</v>
      </c>
      <c r="C135">
        <v>3</v>
      </c>
      <c r="D135">
        <v>5</v>
      </c>
      <c r="E135">
        <v>5</v>
      </c>
    </row>
    <row r="136" spans="1:5" x14ac:dyDescent="0.2">
      <c r="A136">
        <v>34</v>
      </c>
      <c r="B136" t="s">
        <v>9</v>
      </c>
      <c r="C136">
        <v>2</v>
      </c>
      <c r="D136">
        <v>4</v>
      </c>
      <c r="E136">
        <v>5</v>
      </c>
    </row>
    <row r="137" spans="1:5" x14ac:dyDescent="0.2">
      <c r="A137">
        <v>35</v>
      </c>
      <c r="B137" t="s">
        <v>5</v>
      </c>
      <c r="C137">
        <v>5</v>
      </c>
      <c r="D137">
        <v>4</v>
      </c>
      <c r="E137">
        <v>3</v>
      </c>
    </row>
    <row r="138" spans="1:5" x14ac:dyDescent="0.2">
      <c r="A138">
        <v>35</v>
      </c>
      <c r="B138" t="s">
        <v>6</v>
      </c>
      <c r="C138">
        <v>3</v>
      </c>
      <c r="D138">
        <v>3</v>
      </c>
      <c r="E138">
        <v>2</v>
      </c>
    </row>
    <row r="139" spans="1:5" x14ac:dyDescent="0.2">
      <c r="A139">
        <v>35</v>
      </c>
      <c r="B139" t="s">
        <v>7</v>
      </c>
      <c r="C139">
        <v>1</v>
      </c>
      <c r="D139">
        <v>4</v>
      </c>
      <c r="E139">
        <v>3</v>
      </c>
    </row>
    <row r="140" spans="1:5" x14ac:dyDescent="0.2">
      <c r="A140">
        <v>35</v>
      </c>
      <c r="B140" t="s">
        <v>8</v>
      </c>
      <c r="C140">
        <v>6</v>
      </c>
      <c r="D140">
        <v>4</v>
      </c>
      <c r="E140">
        <v>2</v>
      </c>
    </row>
    <row r="141" spans="1:5" x14ac:dyDescent="0.2">
      <c r="A141">
        <v>35</v>
      </c>
      <c r="B141" t="s">
        <v>9</v>
      </c>
      <c r="C141">
        <v>4</v>
      </c>
      <c r="D141">
        <v>4</v>
      </c>
      <c r="E141">
        <v>3</v>
      </c>
    </row>
    <row r="142" spans="1:5" x14ac:dyDescent="0.2">
      <c r="A142">
        <v>36</v>
      </c>
      <c r="B142" t="s">
        <v>5</v>
      </c>
      <c r="C142">
        <v>1</v>
      </c>
      <c r="D142">
        <v>4</v>
      </c>
      <c r="E142">
        <v>2</v>
      </c>
    </row>
    <row r="143" spans="1:5" x14ac:dyDescent="0.2">
      <c r="A143">
        <v>36</v>
      </c>
      <c r="B143" t="s">
        <v>6</v>
      </c>
      <c r="C143">
        <v>6</v>
      </c>
      <c r="D143">
        <v>5</v>
      </c>
      <c r="E143">
        <v>3</v>
      </c>
    </row>
    <row r="144" spans="1:5" x14ac:dyDescent="0.2">
      <c r="A144">
        <v>36</v>
      </c>
      <c r="B144" t="s">
        <v>7</v>
      </c>
      <c r="C144">
        <v>2</v>
      </c>
      <c r="D144">
        <v>5</v>
      </c>
      <c r="E144">
        <v>4</v>
      </c>
    </row>
    <row r="145" spans="1:5" x14ac:dyDescent="0.2">
      <c r="A145">
        <v>36</v>
      </c>
      <c r="B145" t="s">
        <v>8</v>
      </c>
      <c r="C145">
        <v>7</v>
      </c>
      <c r="D145">
        <v>5</v>
      </c>
      <c r="E145">
        <v>4</v>
      </c>
    </row>
    <row r="146" spans="1:5" x14ac:dyDescent="0.2">
      <c r="A146">
        <v>36</v>
      </c>
      <c r="B146" t="s">
        <v>9</v>
      </c>
      <c r="C146">
        <v>4</v>
      </c>
      <c r="D146">
        <v>5</v>
      </c>
      <c r="E146">
        <v>3</v>
      </c>
    </row>
    <row r="147" spans="1:5" x14ac:dyDescent="0.2">
      <c r="A147">
        <v>37</v>
      </c>
      <c r="B147" t="s">
        <v>5</v>
      </c>
      <c r="C147">
        <v>7</v>
      </c>
      <c r="D147">
        <v>4</v>
      </c>
      <c r="E147">
        <v>3</v>
      </c>
    </row>
    <row r="148" spans="1:5" x14ac:dyDescent="0.2">
      <c r="A148">
        <v>37</v>
      </c>
      <c r="B148" t="s">
        <v>6</v>
      </c>
      <c r="C148">
        <v>1</v>
      </c>
      <c r="D148">
        <v>4</v>
      </c>
      <c r="E148">
        <v>3</v>
      </c>
    </row>
    <row r="149" spans="1:5" x14ac:dyDescent="0.2">
      <c r="A149">
        <v>37</v>
      </c>
      <c r="B149" t="s">
        <v>7</v>
      </c>
      <c r="C149">
        <v>9</v>
      </c>
      <c r="D149">
        <v>3</v>
      </c>
      <c r="E149">
        <v>3</v>
      </c>
    </row>
    <row r="150" spans="1:5" x14ac:dyDescent="0.2">
      <c r="A150">
        <v>37</v>
      </c>
      <c r="B150" t="s">
        <v>8</v>
      </c>
      <c r="C150">
        <v>2</v>
      </c>
      <c r="D150">
        <v>4</v>
      </c>
      <c r="E150">
        <v>4</v>
      </c>
    </row>
    <row r="151" spans="1:5" x14ac:dyDescent="0.2">
      <c r="A151">
        <v>37</v>
      </c>
      <c r="B151" t="s">
        <v>9</v>
      </c>
      <c r="C151">
        <v>4</v>
      </c>
      <c r="D151">
        <v>4</v>
      </c>
      <c r="E151">
        <v>4</v>
      </c>
    </row>
    <row r="152" spans="1:5" x14ac:dyDescent="0.2">
      <c r="A152">
        <v>38</v>
      </c>
      <c r="B152" t="s">
        <v>5</v>
      </c>
      <c r="C152">
        <v>2</v>
      </c>
      <c r="D152">
        <v>5</v>
      </c>
      <c r="E152">
        <v>4</v>
      </c>
    </row>
    <row r="153" spans="1:5" x14ac:dyDescent="0.2">
      <c r="A153">
        <v>38</v>
      </c>
      <c r="B153" t="s">
        <v>6</v>
      </c>
      <c r="C153">
        <v>1</v>
      </c>
      <c r="D153">
        <v>5</v>
      </c>
      <c r="E153">
        <v>4</v>
      </c>
    </row>
    <row r="154" spans="1:5" x14ac:dyDescent="0.2">
      <c r="A154">
        <v>38</v>
      </c>
      <c r="B154" t="s">
        <v>7</v>
      </c>
      <c r="C154">
        <v>5</v>
      </c>
      <c r="D154">
        <v>4</v>
      </c>
      <c r="E154">
        <v>3</v>
      </c>
    </row>
    <row r="155" spans="1:5" x14ac:dyDescent="0.2">
      <c r="A155">
        <v>38</v>
      </c>
      <c r="B155" t="s">
        <v>8</v>
      </c>
      <c r="C155">
        <v>6</v>
      </c>
      <c r="D155">
        <v>5</v>
      </c>
      <c r="E155">
        <v>4</v>
      </c>
    </row>
    <row r="156" spans="1:5" x14ac:dyDescent="0.2">
      <c r="A156">
        <v>38</v>
      </c>
      <c r="B156" t="s">
        <v>9</v>
      </c>
      <c r="C156">
        <v>8</v>
      </c>
      <c r="D156">
        <v>5</v>
      </c>
      <c r="E156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0D34D-5931-224B-B12C-D5EF28F2A23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5C55A2-D096-4940-91E8-B2EC0E6485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A. Control of the robot</vt:lpstr>
      <vt:lpstr>B. Part of my body</vt:lpstr>
      <vt:lpstr>manually_pruned_data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Rørslett Uhnger</dc:creator>
  <cp:lastModifiedBy>Victor Rørslett Uhnger</cp:lastModifiedBy>
  <dcterms:created xsi:type="dcterms:W3CDTF">2025-11-22T14:23:02Z</dcterms:created>
  <dcterms:modified xsi:type="dcterms:W3CDTF">2025-11-24T14:22:58Z</dcterms:modified>
</cp:coreProperties>
</file>